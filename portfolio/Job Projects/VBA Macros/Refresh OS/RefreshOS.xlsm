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pia-my.sharepoint.com/personal/maksim_obukhov_epholding_cz/Documents/Desktop/Macros/Refresh OS/"/>
    </mc:Choice>
  </mc:AlternateContent>
  <xr:revisionPtr revIDLastSave="32" documentId="8_{9EDCA0EA-1BF8-4697-A8E4-8FF5F6900098}" xr6:coauthVersionLast="47" xr6:coauthVersionMax="47" xr10:uidLastSave="{A7D02EB3-D858-4C94-AD43-F41BC3C01924}"/>
  <bookViews>
    <workbookView xWindow="-28920" yWindow="15" windowWidth="29040" windowHeight="15840" xr2:uid="{2350EF31-0EB4-41ED-ABB6-23D50ECA1B01}"/>
  </bookViews>
  <sheets>
    <sheet name="Inputs" sheetId="1" r:id="rId1"/>
    <sheet name="Companies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6" i="2" l="1"/>
  <c r="E27" i="2"/>
  <c r="E28" i="2"/>
  <c r="E29" i="2"/>
  <c r="E30" i="2"/>
  <c r="E31" i="2"/>
  <c r="E32" i="2"/>
  <c r="E33" i="2"/>
  <c r="E34" i="2"/>
  <c r="E35" i="2"/>
  <c r="E36" i="2"/>
  <c r="E37" i="2"/>
  <c r="E33" i="1"/>
  <c r="A3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4" i="2"/>
  <c r="G27" i="1"/>
  <c r="G28" i="1" s="1"/>
  <c r="C2" i="2"/>
  <c r="E2" i="2" s="1"/>
  <c r="H32" i="1"/>
  <c r="A4" i="2"/>
  <c r="A5" i="2"/>
  <c r="A6" i="2"/>
  <c r="A7" i="2"/>
  <c r="A8" i="2"/>
  <c r="A9" i="2"/>
  <c r="A10" i="2"/>
  <c r="A11" i="2"/>
  <c r="A12" i="2"/>
  <c r="A13" i="2"/>
  <c r="A2" i="2"/>
  <c r="F37" i="2"/>
  <c r="C37" i="2"/>
  <c r="F36" i="2"/>
  <c r="C36" i="2"/>
  <c r="F35" i="2"/>
  <c r="C35" i="2"/>
  <c r="F34" i="2"/>
  <c r="C34" i="2"/>
  <c r="F33" i="2"/>
  <c r="C33" i="2"/>
  <c r="F32" i="2"/>
  <c r="C32" i="2"/>
  <c r="F31" i="2"/>
  <c r="C31" i="2"/>
  <c r="F30" i="2"/>
  <c r="C30" i="2"/>
  <c r="F29" i="2"/>
  <c r="C29" i="2"/>
  <c r="F28" i="2"/>
  <c r="C28" i="2"/>
  <c r="F27" i="2"/>
  <c r="C27" i="2"/>
  <c r="F26" i="2"/>
  <c r="C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F2" i="2"/>
  <c r="H23" i="1"/>
  <c r="E23" i="1"/>
  <c r="B23" i="1"/>
  <c r="H22" i="1"/>
  <c r="E22" i="1"/>
  <c r="B22" i="1"/>
  <c r="H21" i="1"/>
  <c r="E21" i="1"/>
  <c r="B21" i="1"/>
  <c r="H20" i="1"/>
  <c r="E20" i="1"/>
  <c r="B20" i="1"/>
  <c r="H19" i="1"/>
  <c r="E19" i="1"/>
  <c r="B19" i="1"/>
  <c r="H18" i="1"/>
  <c r="E18" i="1"/>
  <c r="B18" i="1"/>
  <c r="H17" i="1"/>
  <c r="E17" i="1"/>
  <c r="B17" i="1"/>
  <c r="H16" i="1"/>
  <c r="E16" i="1"/>
  <c r="B16" i="1"/>
  <c r="H15" i="1"/>
  <c r="E15" i="1"/>
  <c r="B15" i="1"/>
  <c r="H14" i="1"/>
  <c r="E14" i="1"/>
  <c r="B14" i="1"/>
  <c r="H13" i="1"/>
  <c r="E13" i="1"/>
  <c r="B13" i="1"/>
  <c r="H12" i="1"/>
  <c r="E12" i="1"/>
  <c r="B12" i="1"/>
  <c r="H33" i="1" l="1"/>
  <c r="C3" i="2" l="1"/>
  <c r="E3" i="2" s="1"/>
  <c r="C4" i="2" l="1"/>
  <c r="E4" i="2" s="1"/>
  <c r="C5" i="2" l="1"/>
  <c r="E5" i="2" s="1"/>
  <c r="C6" i="2" l="1"/>
  <c r="E6" i="2" s="1"/>
  <c r="C7" i="2" l="1"/>
  <c r="E7" i="2" s="1"/>
  <c r="C8" i="2" l="1"/>
  <c r="E8" i="2" s="1"/>
  <c r="C9" i="2" l="1"/>
  <c r="E9" i="2" s="1"/>
  <c r="C10" i="2" l="1"/>
  <c r="E10" i="2" s="1"/>
  <c r="C11" i="2" l="1"/>
  <c r="E11" i="2" s="1"/>
  <c r="C12" i="2" l="1"/>
  <c r="E12" i="2" s="1"/>
  <c r="C13" i="2" l="1"/>
  <c r="E13" i="2" s="1"/>
  <c r="C14" i="2" l="1"/>
  <c r="E14" i="2" s="1"/>
  <c r="C15" i="2" l="1"/>
  <c r="E15" i="2" s="1"/>
  <c r="C16" i="2" l="1"/>
  <c r="E16" i="2" s="1"/>
  <c r="C17" i="2" l="1"/>
  <c r="E17" i="2" s="1"/>
  <c r="C18" i="2" l="1"/>
  <c r="E18" i="2" s="1"/>
  <c r="C19" i="2" l="1"/>
  <c r="E19" i="2" s="1"/>
  <c r="C20" i="2" l="1"/>
  <c r="E20" i="2" s="1"/>
  <c r="C21" i="2" l="1"/>
  <c r="E21" i="2" s="1"/>
  <c r="C22" i="2" l="1"/>
  <c r="E22" i="2" s="1"/>
  <c r="C23" i="2" l="1"/>
  <c r="E23" i="2" s="1"/>
  <c r="C24" i="2" l="1"/>
  <c r="E24" i="2" s="1"/>
  <c r="C25" i="2" l="1"/>
  <c r="E25" i="2" s="1"/>
</calcChain>
</file>

<file path=xl/sharedStrings.xml><?xml version="1.0" encoding="utf-8"?>
<sst xmlns="http://schemas.openxmlformats.org/spreadsheetml/2006/main" count="49" uniqueCount="49">
  <si>
    <t>Companies</t>
  </si>
  <si>
    <t>Select all</t>
  </si>
  <si>
    <t>Mark selection with "x"</t>
  </si>
  <si>
    <t>x</t>
  </si>
  <si>
    <t>Update</t>
  </si>
  <si>
    <t>No.</t>
  </si>
  <si>
    <t>Folder</t>
  </si>
  <si>
    <t>Company</t>
  </si>
  <si>
    <t>Path</t>
  </si>
  <si>
    <t>Filename</t>
  </si>
  <si>
    <t>JTSD</t>
  </si>
  <si>
    <t>SEG</t>
  </si>
  <si>
    <t>MEH</t>
  </si>
  <si>
    <t>SHB</t>
  </si>
  <si>
    <t>LAN</t>
  </si>
  <si>
    <t>KIL</t>
  </si>
  <si>
    <t>BAL</t>
  </si>
  <si>
    <t>KIL_OCGT</t>
  </si>
  <si>
    <t>LPL</t>
  </si>
  <si>
    <t>HGEL</t>
  </si>
  <si>
    <t>EPUKI</t>
  </si>
  <si>
    <t>TYN</t>
  </si>
  <si>
    <t>EPP</t>
  </si>
  <si>
    <t>EPNEI</t>
  </si>
  <si>
    <t>EPF</t>
  </si>
  <si>
    <t>EPC</t>
  </si>
  <si>
    <t>EPR</t>
  </si>
  <si>
    <t>EPR_CZ</t>
  </si>
  <si>
    <t>EPPM</t>
  </si>
  <si>
    <t>EPPE</t>
  </si>
  <si>
    <t>CHP</t>
  </si>
  <si>
    <t>LEAG</t>
  </si>
  <si>
    <t>SE</t>
  </si>
  <si>
    <t>ERG</t>
  </si>
  <si>
    <t>Technical Part</t>
  </si>
  <si>
    <t>Delay between actions</t>
  </si>
  <si>
    <t>seconds</t>
  </si>
  <si>
    <t>or</t>
  </si>
  <si>
    <t>Total company count</t>
  </si>
  <si>
    <t>Selected</t>
  </si>
  <si>
    <t>Workbook</t>
  </si>
  <si>
    <t>Current folder</t>
  </si>
  <si>
    <t>Period</t>
  </si>
  <si>
    <t>Year</t>
  </si>
  <si>
    <t>Month (format)</t>
  </si>
  <si>
    <t>Month</t>
  </si>
  <si>
    <t>Reporting period</t>
  </si>
  <si>
    <t>RefreshOS.xlsm</t>
  </si>
  <si>
    <t>C:\Users\EP00345\EPIA\EPPE Reporting -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</si>
</sst>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1C4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4" fillId="2" borderId="1" xfId="0" applyFont="1" applyFill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3" borderId="2" xfId="0" applyFill="1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3" borderId="4" xfId="0" applyFill="1" applyBorder="1" applyProtection="1">
      <protection locked="0"/>
    </xf>
    <xf numFmtId="0" fontId="0" fillId="0" borderId="0" xfId="0" applyBorder="1"/>
    <xf numFmtId="0" fontId="0" fillId="0" borderId="6" xfId="0" applyBorder="1"/>
    <xf numFmtId="0" fontId="0" fillId="3" borderId="0" xfId="0" applyFill="1" applyBorder="1" applyAlignment="1" applyProtection="1">
      <alignment horizontal="center"/>
      <protection locked="0"/>
    </xf>
    <xf numFmtId="0" fontId="0" fillId="3" borderId="0" xfId="0" applyFill="1" applyBorder="1" applyProtection="1">
      <protection locked="0"/>
    </xf>
    <xf numFmtId="0" fontId="0" fillId="4" borderId="0" xfId="0" applyFill="1"/>
    <xf numFmtId="0" fontId="0" fillId="0" borderId="0" xfId="0" applyFill="1" applyBorder="1"/>
    <xf numFmtId="0" fontId="2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2" fillId="5" borderId="0" xfId="0" applyFont="1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 applyProtection="1">
      <protection locked="0"/>
    </xf>
    <xf numFmtId="0" fontId="4" fillId="2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8283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CB64C61-B052-4965-9C73-65A648BF10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pia.sharepoint.com/sites/EPPEReporting/Shared%20Documents/Reporting/2022/07-2022/BoD/Input/_Update%20MR%20EPPE%20-%20modifi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Inputs"/>
      <sheetName val="Companies"/>
    </sheetNames>
    <sheetDataSet>
      <sheetData sheetId="0" refreshError="1"/>
      <sheetData sheetId="1"/>
      <sheetData sheetId="2">
        <row r="2">
          <cell r="D2" t="str">
            <v>JTSD</v>
          </cell>
        </row>
        <row r="3">
          <cell r="D3" t="str">
            <v>SEG</v>
          </cell>
        </row>
        <row r="4">
          <cell r="D4" t="str">
            <v>MEH</v>
          </cell>
        </row>
        <row r="5">
          <cell r="D5" t="str">
            <v>SHB</v>
          </cell>
        </row>
        <row r="6">
          <cell r="D6" t="str">
            <v>LAN</v>
          </cell>
        </row>
        <row r="7">
          <cell r="D7" t="str">
            <v>KIL</v>
          </cell>
        </row>
        <row r="8">
          <cell r="D8" t="str">
            <v>BAL</v>
          </cell>
        </row>
        <row r="9">
          <cell r="D9" t="str">
            <v>KIL_OCGT</v>
          </cell>
        </row>
        <row r="10">
          <cell r="D10" t="str">
            <v>LPL</v>
          </cell>
        </row>
        <row r="11">
          <cell r="D11" t="str">
            <v>HGEL</v>
          </cell>
        </row>
        <row r="12">
          <cell r="D12" t="str">
            <v>EPUKI</v>
          </cell>
        </row>
        <row r="13">
          <cell r="D13" t="str">
            <v>TYN</v>
          </cell>
        </row>
        <row r="14">
          <cell r="D14" t="str">
            <v>EPP</v>
          </cell>
        </row>
        <row r="15">
          <cell r="D15" t="str">
            <v>EPNEI</v>
          </cell>
        </row>
        <row r="16">
          <cell r="D16" t="str">
            <v>EPF</v>
          </cell>
        </row>
        <row r="17">
          <cell r="D17" t="str">
            <v>EPC</v>
          </cell>
        </row>
        <row r="18">
          <cell r="D18" t="str">
            <v>EPR</v>
          </cell>
        </row>
        <row r="19">
          <cell r="D19" t="str">
            <v>EPR_CZ</v>
          </cell>
        </row>
        <row r="20">
          <cell r="D20" t="str">
            <v>EPPM</v>
          </cell>
        </row>
        <row r="21">
          <cell r="D21" t="str">
            <v>EPPE</v>
          </cell>
        </row>
        <row r="22">
          <cell r="D22" t="str">
            <v>CHP</v>
          </cell>
        </row>
        <row r="23">
          <cell r="D23" t="str">
            <v>LEAG</v>
          </cell>
        </row>
        <row r="24">
          <cell r="D24" t="str">
            <v>SE</v>
          </cell>
        </row>
        <row r="25">
          <cell r="D25" t="str">
            <v>ERG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81B99-2568-48A7-B765-2C6F9C113CAF}">
  <sheetPr codeName="Sheet1"/>
  <dimension ref="A1:I36"/>
  <sheetViews>
    <sheetView showGridLines="0" tabSelected="1" topLeftCell="A7" zoomScale="115" zoomScaleNormal="115" workbookViewId="0">
      <selection activeCell="G20" sqref="G20"/>
    </sheetView>
  </sheetViews>
  <sheetFormatPr defaultRowHeight="15" x14ac:dyDescent="0.25"/>
  <cols>
    <col min="1" max="1" width="4.28515625" style="12" customWidth="1"/>
    <col min="2" max="8" width="9.140625" style="12"/>
    <col min="9" max="9" width="5.140625" style="12" customWidth="1"/>
    <col min="10" max="16384" width="9.140625" style="12"/>
  </cols>
  <sheetData>
    <row r="1" spans="1:9" x14ac:dyDescent="0.25">
      <c r="A1" s="13"/>
      <c r="B1" s="13"/>
      <c r="C1" s="13"/>
      <c r="D1" s="13"/>
      <c r="E1" s="13"/>
      <c r="F1" s="13"/>
      <c r="G1" s="13"/>
      <c r="H1" s="13"/>
      <c r="I1" s="13"/>
    </row>
    <row r="2" spans="1:9" x14ac:dyDescent="0.25">
      <c r="A2" s="13"/>
      <c r="B2" s="13"/>
      <c r="C2" s="13"/>
      <c r="D2" s="13"/>
      <c r="E2" s="13"/>
      <c r="F2" s="13"/>
      <c r="G2" s="13"/>
      <c r="H2" s="13"/>
      <c r="I2" s="13"/>
    </row>
    <row r="3" spans="1:9" x14ac:dyDescent="0.25">
      <c r="A3" s="13"/>
      <c r="B3" s="13"/>
      <c r="C3" s="13"/>
      <c r="D3" s="13"/>
      <c r="E3" s="13"/>
      <c r="F3" s="13"/>
      <c r="G3" s="13"/>
      <c r="H3" s="13"/>
      <c r="I3" s="13"/>
    </row>
    <row r="4" spans="1:9" x14ac:dyDescent="0.25">
      <c r="A4" s="13"/>
      <c r="B4" s="13"/>
      <c r="C4" s="13"/>
      <c r="D4" s="13"/>
      <c r="E4" s="13"/>
      <c r="F4" s="13"/>
      <c r="G4" s="13"/>
      <c r="H4" s="13"/>
      <c r="I4" s="13"/>
    </row>
    <row r="5" spans="1:9" x14ac:dyDescent="0.25">
      <c r="A5" s="13"/>
      <c r="B5" s="13"/>
      <c r="C5" s="13"/>
      <c r="D5" s="13"/>
      <c r="E5" s="13"/>
      <c r="F5" s="13"/>
      <c r="G5" s="13"/>
      <c r="H5" s="13"/>
      <c r="I5" s="13"/>
    </row>
    <row r="6" spans="1:9" x14ac:dyDescent="0.25">
      <c r="A6" s="13"/>
      <c r="B6" s="13"/>
      <c r="C6" s="13"/>
      <c r="D6" s="13"/>
      <c r="E6" s="13"/>
      <c r="F6" s="13"/>
      <c r="G6" s="13"/>
      <c r="H6" s="13"/>
      <c r="I6" s="13"/>
    </row>
    <row r="7" spans="1:9" x14ac:dyDescent="0.25">
      <c r="A7" s="13"/>
      <c r="B7" s="20" t="s">
        <v>0</v>
      </c>
      <c r="C7" s="20"/>
      <c r="D7" s="20"/>
      <c r="E7" s="20"/>
      <c r="F7" s="20"/>
      <c r="G7" s="20"/>
      <c r="H7" s="20"/>
      <c r="I7" s="14"/>
    </row>
    <row r="8" spans="1:9" x14ac:dyDescent="0.25">
      <c r="A8" s="13"/>
      <c r="B8" s="13"/>
      <c r="C8" s="13"/>
      <c r="D8" s="13"/>
      <c r="E8" s="13"/>
      <c r="F8" s="13"/>
      <c r="G8" s="13"/>
      <c r="H8" s="13"/>
      <c r="I8" s="13"/>
    </row>
    <row r="9" spans="1:9" x14ac:dyDescent="0.25">
      <c r="A9" s="13"/>
      <c r="B9" s="13" t="s">
        <v>1</v>
      </c>
      <c r="C9" s="10" t="s">
        <v>3</v>
      </c>
      <c r="D9" s="13"/>
      <c r="E9" s="13"/>
      <c r="F9" s="13"/>
      <c r="G9" s="13"/>
      <c r="H9" s="13"/>
      <c r="I9" s="13"/>
    </row>
    <row r="10" spans="1:9" x14ac:dyDescent="0.25">
      <c r="A10" s="13"/>
      <c r="B10" s="13"/>
      <c r="C10" s="13"/>
      <c r="D10" s="13"/>
      <c r="E10" s="13"/>
      <c r="F10" s="13"/>
      <c r="G10" s="13"/>
      <c r="H10" s="13"/>
      <c r="I10" s="13"/>
    </row>
    <row r="11" spans="1:9" x14ac:dyDescent="0.25">
      <c r="A11" s="13"/>
      <c r="B11" s="15" t="s">
        <v>2</v>
      </c>
      <c r="C11" s="13"/>
      <c r="D11" s="13"/>
      <c r="E11" s="13"/>
      <c r="F11" s="13"/>
      <c r="G11" s="13"/>
      <c r="H11" s="13"/>
      <c r="I11" s="13"/>
    </row>
    <row r="12" spans="1:9" x14ac:dyDescent="0.25">
      <c r="A12" s="13"/>
      <c r="B12" s="13" t="str">
        <f>IF([1]Companies!D2&lt;&gt;"",[1]Companies!D2,"")</f>
        <v>JTSD</v>
      </c>
      <c r="C12" s="10"/>
      <c r="D12" s="13"/>
      <c r="E12" s="13" t="str">
        <f>IF([1]Companies!D14&lt;&gt;"",[1]Companies!D14,"")</f>
        <v>EPP</v>
      </c>
      <c r="F12" s="10"/>
      <c r="G12" s="13"/>
      <c r="H12" s="13" t="str">
        <f>IF([1]Companies!D26&lt;&gt;"",[1]Companies!D26,"")</f>
        <v/>
      </c>
      <c r="I12" s="16"/>
    </row>
    <row r="13" spans="1:9" x14ac:dyDescent="0.25">
      <c r="A13" s="13"/>
      <c r="B13" s="13" t="str">
        <f>IF([1]Companies!D3&lt;&gt;"",[1]Companies!D3,"")</f>
        <v>SEG</v>
      </c>
      <c r="C13" s="10"/>
      <c r="D13" s="13"/>
      <c r="E13" s="13" t="str">
        <f>IF([1]Companies!D15&lt;&gt;"",[1]Companies!D15,"")</f>
        <v>EPNEI</v>
      </c>
      <c r="F13" s="10"/>
      <c r="G13" s="13"/>
      <c r="H13" s="13" t="str">
        <f>IF([1]Companies!D27&lt;&gt;"",[1]Companies!D27,"")</f>
        <v/>
      </c>
      <c r="I13" s="16"/>
    </row>
    <row r="14" spans="1:9" x14ac:dyDescent="0.25">
      <c r="A14" s="13"/>
      <c r="B14" s="13" t="str">
        <f>IF([1]Companies!D4&lt;&gt;"",[1]Companies!D4,"")</f>
        <v>MEH</v>
      </c>
      <c r="C14" s="10"/>
      <c r="D14" s="13"/>
      <c r="E14" s="13" t="str">
        <f>IF([1]Companies!D16&lt;&gt;"",[1]Companies!D16,"")</f>
        <v>EPF</v>
      </c>
      <c r="F14" s="10"/>
      <c r="G14" s="13"/>
      <c r="H14" s="13" t="str">
        <f>IF([1]Companies!D28&lt;&gt;"",[1]Companies!D28,"")</f>
        <v/>
      </c>
      <c r="I14" s="16"/>
    </row>
    <row r="15" spans="1:9" x14ac:dyDescent="0.25">
      <c r="A15" s="13"/>
      <c r="B15" s="13" t="str">
        <f>IF([1]Companies!D5&lt;&gt;"",[1]Companies!D5,"")</f>
        <v>SHB</v>
      </c>
      <c r="C15" s="10"/>
      <c r="D15" s="13"/>
      <c r="E15" s="13" t="str">
        <f>IF([1]Companies!D17&lt;&gt;"",[1]Companies!D17,"")</f>
        <v>EPC</v>
      </c>
      <c r="F15" s="10"/>
      <c r="G15" s="13"/>
      <c r="H15" s="13" t="str">
        <f>IF([1]Companies!D29&lt;&gt;"",[1]Companies!D29,"")</f>
        <v/>
      </c>
      <c r="I15" s="16"/>
    </row>
    <row r="16" spans="1:9" x14ac:dyDescent="0.25">
      <c r="A16" s="13"/>
      <c r="B16" s="13" t="str">
        <f>IF([1]Companies!D6&lt;&gt;"",[1]Companies!D6,"")</f>
        <v>LAN</v>
      </c>
      <c r="C16" s="10"/>
      <c r="D16" s="13"/>
      <c r="E16" s="13" t="str">
        <f>IF([1]Companies!D18&lt;&gt;"",[1]Companies!D18,"")</f>
        <v>EPR</v>
      </c>
      <c r="F16" s="10"/>
      <c r="G16" s="13"/>
      <c r="H16" s="13" t="str">
        <f>IF([1]Companies!D30&lt;&gt;"",[1]Companies!D30,"")</f>
        <v/>
      </c>
      <c r="I16" s="16"/>
    </row>
    <row r="17" spans="1:9" x14ac:dyDescent="0.25">
      <c r="A17" s="13"/>
      <c r="B17" s="13" t="str">
        <f>IF([1]Companies!D7&lt;&gt;"",[1]Companies!D7,"")</f>
        <v>KIL</v>
      </c>
      <c r="C17" s="10"/>
      <c r="D17" s="13"/>
      <c r="E17" s="13" t="str">
        <f>IF([1]Companies!D19&lt;&gt;"",[1]Companies!D19,"")</f>
        <v>EPR_CZ</v>
      </c>
      <c r="F17" s="10"/>
      <c r="G17" s="13"/>
      <c r="H17" s="13" t="str">
        <f>IF([1]Companies!D31&lt;&gt;"",[1]Companies!D31,"")</f>
        <v/>
      </c>
      <c r="I17" s="16"/>
    </row>
    <row r="18" spans="1:9" x14ac:dyDescent="0.25">
      <c r="A18" s="13"/>
      <c r="B18" s="13" t="str">
        <f>IF([1]Companies!D8&lt;&gt;"",[1]Companies!D8,"")</f>
        <v>BAL</v>
      </c>
      <c r="C18" s="10"/>
      <c r="D18" s="13"/>
      <c r="E18" s="13" t="str">
        <f>IF([1]Companies!D20&lt;&gt;"",[1]Companies!D20,"")</f>
        <v>EPPM</v>
      </c>
      <c r="F18" s="10"/>
      <c r="G18" s="13"/>
      <c r="H18" s="13" t="str">
        <f>IF([1]Companies!D32&lt;&gt;"",[1]Companies!D32,"")</f>
        <v/>
      </c>
      <c r="I18" s="16"/>
    </row>
    <row r="19" spans="1:9" x14ac:dyDescent="0.25">
      <c r="A19" s="13"/>
      <c r="B19" s="13" t="str">
        <f>IF([1]Companies!D9&lt;&gt;"",[1]Companies!D9,"")</f>
        <v>KIL_OCGT</v>
      </c>
      <c r="C19" s="10"/>
      <c r="D19" s="13"/>
      <c r="E19" s="13" t="str">
        <f>IF([1]Companies!D21&lt;&gt;"",[1]Companies!D21,"")</f>
        <v>EPPE</v>
      </c>
      <c r="F19" s="10"/>
      <c r="G19" s="13"/>
      <c r="H19" s="13" t="str">
        <f>IF([1]Companies!D33&lt;&gt;"",[1]Companies!D33,"")</f>
        <v/>
      </c>
      <c r="I19" s="16"/>
    </row>
    <row r="20" spans="1:9" x14ac:dyDescent="0.25">
      <c r="A20" s="13"/>
      <c r="B20" s="13" t="str">
        <f>IF([1]Companies!D10&lt;&gt;"",[1]Companies!D10,"")</f>
        <v>LPL</v>
      </c>
      <c r="C20" s="10"/>
      <c r="D20" s="13"/>
      <c r="E20" s="13" t="str">
        <f>IF([1]Companies!D22&lt;&gt;"",[1]Companies!D22,"")</f>
        <v>CHP</v>
      </c>
      <c r="F20" s="10"/>
      <c r="G20" s="13"/>
      <c r="H20" s="13" t="str">
        <f>IF([1]Companies!D34&lt;&gt;"",[1]Companies!D34,"")</f>
        <v/>
      </c>
      <c r="I20" s="16"/>
    </row>
    <row r="21" spans="1:9" x14ac:dyDescent="0.25">
      <c r="A21" s="13"/>
      <c r="B21" s="13" t="str">
        <f>IF([1]Companies!D11&lt;&gt;"",[1]Companies!D11,"")</f>
        <v>HGEL</v>
      </c>
      <c r="C21" s="10"/>
      <c r="D21" s="13"/>
      <c r="E21" s="13" t="str">
        <f>IF([1]Companies!D23&lt;&gt;"",[1]Companies!D23,"")</f>
        <v>LEAG</v>
      </c>
      <c r="F21" s="10"/>
      <c r="G21" s="13"/>
      <c r="H21" s="13" t="str">
        <f>IF([1]Companies!D35&lt;&gt;"",[1]Companies!D35,"")</f>
        <v/>
      </c>
      <c r="I21" s="16"/>
    </row>
    <row r="22" spans="1:9" x14ac:dyDescent="0.25">
      <c r="A22" s="13"/>
      <c r="B22" s="13" t="str">
        <f>IF([1]Companies!D12&lt;&gt;"",[1]Companies!D12,"")</f>
        <v>EPUKI</v>
      </c>
      <c r="C22" s="10"/>
      <c r="D22" s="13"/>
      <c r="E22" s="13" t="str">
        <f>IF([1]Companies!D24&lt;&gt;"",[1]Companies!D24,"")</f>
        <v>SE</v>
      </c>
      <c r="F22" s="10"/>
      <c r="G22" s="13"/>
      <c r="H22" s="13" t="str">
        <f>IF([1]Companies!D36&lt;&gt;"",[1]Companies!D36,"")</f>
        <v/>
      </c>
      <c r="I22" s="16"/>
    </row>
    <row r="23" spans="1:9" x14ac:dyDescent="0.25">
      <c r="A23" s="13"/>
      <c r="B23" s="13" t="str">
        <f>IF([1]Companies!D13&lt;&gt;"",[1]Companies!D13,"")</f>
        <v>TYN</v>
      </c>
      <c r="C23" s="10"/>
      <c r="D23" s="13"/>
      <c r="E23" s="13" t="str">
        <f>IF([1]Companies!D25&lt;&gt;"",[1]Companies!D25,"")</f>
        <v>ERG</v>
      </c>
      <c r="F23" s="10"/>
      <c r="G23" s="13"/>
      <c r="H23" s="13" t="str">
        <f>IF([1]Companies!D37&lt;&gt;"",[1]Companies!D37,"")</f>
        <v/>
      </c>
      <c r="I23" s="16"/>
    </row>
    <row r="24" spans="1:9" x14ac:dyDescent="0.25">
      <c r="A24" s="13"/>
      <c r="B24" s="13"/>
      <c r="C24" s="13"/>
      <c r="D24" s="13"/>
      <c r="E24" s="13"/>
      <c r="F24" s="13"/>
      <c r="G24" s="13"/>
      <c r="H24" s="13"/>
      <c r="I24" s="13"/>
    </row>
    <row r="25" spans="1:9" x14ac:dyDescent="0.25">
      <c r="A25" s="13"/>
      <c r="B25" s="20" t="s">
        <v>42</v>
      </c>
      <c r="C25" s="20"/>
      <c r="D25" s="20"/>
      <c r="E25" s="20"/>
      <c r="F25" s="20"/>
      <c r="G25" s="20"/>
      <c r="H25" s="20"/>
      <c r="I25" s="14"/>
    </row>
    <row r="26" spans="1:9" x14ac:dyDescent="0.25">
      <c r="A26" s="13"/>
      <c r="B26" s="13"/>
      <c r="C26" s="13"/>
      <c r="D26" s="13"/>
      <c r="E26" s="13"/>
      <c r="F26" s="13"/>
      <c r="G26" s="13"/>
      <c r="H26" s="13"/>
      <c r="I26" s="13"/>
    </row>
    <row r="27" spans="1:9" x14ac:dyDescent="0.25">
      <c r="A27" s="13"/>
      <c r="B27" s="13" t="s">
        <v>43</v>
      </c>
      <c r="C27" s="11">
        <v>2022</v>
      </c>
      <c r="D27" s="13"/>
      <c r="E27" s="13" t="s">
        <v>44</v>
      </c>
      <c r="F27" s="13"/>
      <c r="G27" s="21" t="str">
        <f>TEXT(C28,"00")</f>
        <v>07</v>
      </c>
      <c r="H27" s="13"/>
      <c r="I27" s="13"/>
    </row>
    <row r="28" spans="1:9" x14ac:dyDescent="0.25">
      <c r="A28" s="13"/>
      <c r="B28" s="13" t="s">
        <v>45</v>
      </c>
      <c r="C28" s="11">
        <v>7</v>
      </c>
      <c r="D28" s="13"/>
      <c r="E28" s="13" t="s">
        <v>46</v>
      </c>
      <c r="F28" s="13"/>
      <c r="G28" s="21" t="str">
        <f>CONCATENATE("[",C27,G27,"]")</f>
        <v>[202207]</v>
      </c>
      <c r="H28" s="13"/>
      <c r="I28" s="13"/>
    </row>
    <row r="29" spans="1:9" x14ac:dyDescent="0.25">
      <c r="A29" s="13"/>
      <c r="B29" s="13"/>
      <c r="C29" s="13"/>
      <c r="D29" s="13"/>
      <c r="E29" s="13"/>
      <c r="F29" s="13"/>
      <c r="G29" s="13"/>
      <c r="H29" s="13"/>
      <c r="I29" s="13"/>
    </row>
    <row r="30" spans="1:9" x14ac:dyDescent="0.25">
      <c r="A30" s="13"/>
      <c r="B30" s="20" t="s">
        <v>34</v>
      </c>
      <c r="C30" s="20"/>
      <c r="D30" s="20"/>
      <c r="E30" s="20"/>
      <c r="F30" s="20"/>
      <c r="G30" s="20"/>
      <c r="H30" s="20"/>
      <c r="I30" s="14"/>
    </row>
    <row r="31" spans="1:9" x14ac:dyDescent="0.25">
      <c r="A31" s="13"/>
      <c r="B31" s="13"/>
      <c r="C31" s="13"/>
      <c r="D31" s="13"/>
      <c r="E31" s="13"/>
      <c r="F31" s="13"/>
      <c r="G31" s="13"/>
      <c r="H31" s="13"/>
      <c r="I31" s="13"/>
    </row>
    <row r="32" spans="1:9" x14ac:dyDescent="0.25">
      <c r="A32" s="13"/>
      <c r="B32" s="13" t="s">
        <v>35</v>
      </c>
      <c r="C32" s="13"/>
      <c r="D32" s="13"/>
      <c r="E32" s="11">
        <v>0</v>
      </c>
      <c r="F32" s="13" t="s">
        <v>36</v>
      </c>
      <c r="G32" s="17" t="s">
        <v>37</v>
      </c>
      <c r="H32" s="18" t="str">
        <f>CONCATENATE("00:00:0",E32)</f>
        <v>00:00:00</v>
      </c>
      <c r="I32" s="13"/>
    </row>
    <row r="33" spans="1:9" x14ac:dyDescent="0.25">
      <c r="A33" s="13"/>
      <c r="B33" s="13" t="s">
        <v>38</v>
      </c>
      <c r="C33" s="13"/>
      <c r="D33" s="13"/>
      <c r="E33" s="13">
        <f>COUNTA(Companies!$D$2:$D$50)</f>
        <v>24</v>
      </c>
      <c r="F33" s="13"/>
      <c r="G33" s="17" t="s">
        <v>39</v>
      </c>
      <c r="H33" s="18">
        <f>COUNTIF(Companies!$A$2:$A$50,"x")</f>
        <v>24</v>
      </c>
      <c r="I33" s="13"/>
    </row>
    <row r="34" spans="1:9" x14ac:dyDescent="0.25">
      <c r="A34" s="13"/>
      <c r="B34" s="19" t="s">
        <v>40</v>
      </c>
      <c r="C34" s="13"/>
      <c r="D34" s="13"/>
      <c r="E34" s="19" t="s">
        <v>47</v>
      </c>
      <c r="F34" s="13"/>
      <c r="G34" s="17"/>
      <c r="H34" s="18"/>
      <c r="I34" s="13"/>
    </row>
    <row r="35" spans="1:9" x14ac:dyDescent="0.25">
      <c r="A35" s="13"/>
      <c r="B35" s="13" t="s">
        <v>41</v>
      </c>
      <c r="C35" s="13"/>
      <c r="D35" s="13"/>
      <c r="E35" s="13" t="s">
        <v>48</v>
      </c>
      <c r="F35" s="13"/>
      <c r="G35" s="17"/>
      <c r="H35" s="18"/>
      <c r="I35" s="13"/>
    </row>
    <row r="36" spans="1:9" x14ac:dyDescent="0.25">
      <c r="A36" s="13"/>
      <c r="B36" s="13"/>
      <c r="C36" s="13"/>
      <c r="D36" s="13"/>
      <c r="E36" s="13"/>
      <c r="F36" s="13"/>
      <c r="G36" s="17"/>
      <c r="H36" s="18"/>
      <c r="I36" s="13"/>
    </row>
  </sheetData>
  <dataValidations count="3">
    <dataValidation type="list" allowBlank="1" showInputMessage="1" showErrorMessage="1" sqref="C12:C23 F12:F23 C9" xr:uid="{243C543C-9F02-4464-8D28-470B4392AE48}">
      <formula1>"x"</formula1>
    </dataValidation>
    <dataValidation type="whole" allowBlank="1" showInputMessage="1" showErrorMessage="1" sqref="C27" xr:uid="{03D279BC-7892-4237-9B6D-724EB94FF83B}">
      <formula1>2020</formula1>
      <formula2>2027</formula2>
    </dataValidation>
    <dataValidation type="whole" allowBlank="1" showInputMessage="1" showErrorMessage="1" sqref="C28" xr:uid="{93069C39-DF52-4CC5-9073-EC36CF11786A}">
      <formula1>1</formula1>
      <formula2>12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selection">
                <anchor moveWithCells="1" sizeWithCells="1">
                  <from>
                    <xdr:col>3</xdr:col>
                    <xdr:colOff>66675</xdr:colOff>
                    <xdr:row>8</xdr:row>
                    <xdr:rowOff>9525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FF3EB-8AAF-441B-A3D8-DDB56CE94645}">
  <sheetPr codeName="Sheet2"/>
  <dimension ref="A1:F37"/>
  <sheetViews>
    <sheetView showGridLines="0" workbookViewId="0">
      <selection activeCell="I7" sqref="I7"/>
    </sheetView>
  </sheetViews>
  <sheetFormatPr defaultRowHeight="15" x14ac:dyDescent="0.25"/>
  <cols>
    <col min="1" max="1" width="7.140625" style="12" bestFit="1" customWidth="1"/>
    <col min="2" max="2" width="5.5703125" style="12" customWidth="1"/>
    <col min="3" max="3" width="43" style="12" bestFit="1" customWidth="1"/>
    <col min="4" max="4" width="12.7109375" style="12" customWidth="1"/>
    <col min="5" max="5" width="56.7109375" style="12" bestFit="1" customWidth="1"/>
    <col min="6" max="6" width="13.5703125" style="12" bestFit="1" customWidth="1"/>
    <col min="7" max="16384" width="9.140625" style="12"/>
  </cols>
  <sheetData>
    <row r="1" spans="1:6" customFormat="1" x14ac:dyDescent="0.25">
      <c r="A1" s="1" t="s">
        <v>4</v>
      </c>
      <c r="B1" s="1" t="s">
        <v>5</v>
      </c>
      <c r="C1" s="1" t="s">
        <v>6</v>
      </c>
      <c r="D1" s="1" t="s">
        <v>7</v>
      </c>
      <c r="E1" s="23" t="s">
        <v>8</v>
      </c>
      <c r="F1" s="1" t="s">
        <v>9</v>
      </c>
    </row>
    <row r="2" spans="1:6" customFormat="1" x14ac:dyDescent="0.25">
      <c r="A2" s="2" t="str">
        <f>IF(D2&lt;&gt;"",IF(Inputs!$C$9="x","x",Inputs!C12),"")</f>
        <v>x</v>
      </c>
      <c r="B2" s="3">
        <v>1</v>
      </c>
      <c r="C2" s="3" t="str">
        <f>Inputs!E35</f>
        <v>C:\Users\EP00345\EPIA\EPPE Reporting - Input</v>
      </c>
      <c r="D2" s="22" t="s">
        <v>10</v>
      </c>
      <c r="E2" s="5" t="str">
        <f>CONCATENATE(C2,"\",D2,".xlsx")</f>
        <v>C:\Users\EP00345\EPIA\EPPE Reporting - Input\JTSD.xlsx</v>
      </c>
      <c r="F2" s="9" t="str">
        <f>CONCATENATE(D2,".xlsx")</f>
        <v>JTSD.xlsx</v>
      </c>
    </row>
    <row r="3" spans="1:6" customFormat="1" x14ac:dyDescent="0.25">
      <c r="A3" s="2" t="str">
        <f>IF(D3&lt;&gt;"",IF(Inputs!$C$9="x","x",Inputs!C13),"")</f>
        <v>x</v>
      </c>
      <c r="B3" s="3">
        <f>B2+1</f>
        <v>2</v>
      </c>
      <c r="C3" s="3" t="str">
        <f>IF(D3&lt;&gt;"",C2,"")</f>
        <v>C:\Users\EP00345\EPIA\EPPE Reporting - Input</v>
      </c>
      <c r="D3" s="4" t="s">
        <v>11</v>
      </c>
      <c r="E3" s="8" t="str">
        <f t="shared" ref="E3:E25" si="0">CONCATENATE(C3,"\",D3,".xlsx")</f>
        <v>C:\Users\EP00345\EPIA\EPPE Reporting - Input\SEG.xlsx</v>
      </c>
      <c r="F3" s="3" t="str">
        <f>IF(D3&lt;&gt;"",CONCATENATE(D3,".xlsx"),"")</f>
        <v>SEG.xlsx</v>
      </c>
    </row>
    <row r="4" spans="1:6" customFormat="1" x14ac:dyDescent="0.25">
      <c r="A4" s="2" t="str">
        <f>IF(D4&lt;&gt;"",IF(Inputs!$C$9="x","x",Inputs!C14),"")</f>
        <v>x</v>
      </c>
      <c r="B4" s="3">
        <f t="shared" ref="B4:B37" si="1">B3+1</f>
        <v>3</v>
      </c>
      <c r="C4" s="3" t="str">
        <f t="shared" ref="C4:C37" si="2">IF(D4&lt;&gt;"",C3,"")</f>
        <v>C:\Users\EP00345\EPIA\EPPE Reporting - Input</v>
      </c>
      <c r="D4" s="4" t="s">
        <v>12</v>
      </c>
      <c r="E4" s="8" t="str">
        <f t="shared" si="0"/>
        <v>C:\Users\EP00345\EPIA\EPPE Reporting - Input\MEH.xlsx</v>
      </c>
      <c r="F4" s="3" t="str">
        <f t="shared" ref="F4:F37" si="3">IF(D4&lt;&gt;"",CONCATENATE(D4,".xlsx"),"")</f>
        <v>MEH.xlsx</v>
      </c>
    </row>
    <row r="5" spans="1:6" customFormat="1" x14ac:dyDescent="0.25">
      <c r="A5" s="2" t="str">
        <f>IF(D5&lt;&gt;"",IF(Inputs!$C$9="x","x",Inputs!C15),"")</f>
        <v>x</v>
      </c>
      <c r="B5" s="3">
        <f t="shared" si="1"/>
        <v>4</v>
      </c>
      <c r="C5" s="3" t="str">
        <f t="shared" si="2"/>
        <v>C:\Users\EP00345\EPIA\EPPE Reporting - Input</v>
      </c>
      <c r="D5" s="4" t="s">
        <v>13</v>
      </c>
      <c r="E5" s="8" t="str">
        <f t="shared" si="0"/>
        <v>C:\Users\EP00345\EPIA\EPPE Reporting - Input\SHB.xlsx</v>
      </c>
      <c r="F5" s="3" t="str">
        <f t="shared" si="3"/>
        <v>SHB.xlsx</v>
      </c>
    </row>
    <row r="6" spans="1:6" customFormat="1" x14ac:dyDescent="0.25">
      <c r="A6" s="2" t="str">
        <f>IF(D6&lt;&gt;"",IF(Inputs!$C$9="x","x",Inputs!C16),"")</f>
        <v>x</v>
      </c>
      <c r="B6" s="3">
        <f t="shared" si="1"/>
        <v>5</v>
      </c>
      <c r="C6" s="3" t="str">
        <f t="shared" si="2"/>
        <v>C:\Users\EP00345\EPIA\EPPE Reporting - Input</v>
      </c>
      <c r="D6" s="4" t="s">
        <v>14</v>
      </c>
      <c r="E6" s="8" t="str">
        <f t="shared" si="0"/>
        <v>C:\Users\EP00345\EPIA\EPPE Reporting - Input\LAN.xlsx</v>
      </c>
      <c r="F6" s="3" t="str">
        <f t="shared" si="3"/>
        <v>LAN.xlsx</v>
      </c>
    </row>
    <row r="7" spans="1:6" customFormat="1" x14ac:dyDescent="0.25">
      <c r="A7" s="2" t="str">
        <f>IF(D7&lt;&gt;"",IF(Inputs!$C$9="x","x",Inputs!C17),"")</f>
        <v>x</v>
      </c>
      <c r="B7" s="3">
        <f t="shared" si="1"/>
        <v>6</v>
      </c>
      <c r="C7" s="3" t="str">
        <f t="shared" si="2"/>
        <v>C:\Users\EP00345\EPIA\EPPE Reporting - Input</v>
      </c>
      <c r="D7" s="4" t="s">
        <v>15</v>
      </c>
      <c r="E7" s="8" t="str">
        <f t="shared" si="0"/>
        <v>C:\Users\EP00345\EPIA\EPPE Reporting - Input\KIL.xlsx</v>
      </c>
      <c r="F7" s="3" t="str">
        <f t="shared" si="3"/>
        <v>KIL.xlsx</v>
      </c>
    </row>
    <row r="8" spans="1:6" customFormat="1" x14ac:dyDescent="0.25">
      <c r="A8" s="2" t="str">
        <f>IF(D8&lt;&gt;"",IF(Inputs!$C$9="x","x",Inputs!C18),"")</f>
        <v>x</v>
      </c>
      <c r="B8" s="3">
        <f t="shared" si="1"/>
        <v>7</v>
      </c>
      <c r="C8" s="3" t="str">
        <f t="shared" si="2"/>
        <v>C:\Users\EP00345\EPIA\EPPE Reporting - Input</v>
      </c>
      <c r="D8" s="4" t="s">
        <v>16</v>
      </c>
      <c r="E8" s="8" t="str">
        <f t="shared" si="0"/>
        <v>C:\Users\EP00345\EPIA\EPPE Reporting - Input\BAL.xlsx</v>
      </c>
      <c r="F8" s="3" t="str">
        <f t="shared" si="3"/>
        <v>BAL.xlsx</v>
      </c>
    </row>
    <row r="9" spans="1:6" customFormat="1" x14ac:dyDescent="0.25">
      <c r="A9" s="2" t="str">
        <f>IF(D9&lt;&gt;"",IF(Inputs!$C$9="x","x",Inputs!C19),"")</f>
        <v>x</v>
      </c>
      <c r="B9" s="3">
        <f t="shared" si="1"/>
        <v>8</v>
      </c>
      <c r="C9" s="3" t="str">
        <f t="shared" si="2"/>
        <v>C:\Users\EP00345\EPIA\EPPE Reporting - Input</v>
      </c>
      <c r="D9" s="4" t="s">
        <v>17</v>
      </c>
      <c r="E9" s="8" t="str">
        <f t="shared" si="0"/>
        <v>C:\Users\EP00345\EPIA\EPPE Reporting - Input\KIL_OCGT.xlsx</v>
      </c>
      <c r="F9" s="3" t="str">
        <f t="shared" si="3"/>
        <v>KIL_OCGT.xlsx</v>
      </c>
    </row>
    <row r="10" spans="1:6" customFormat="1" x14ac:dyDescent="0.25">
      <c r="A10" s="2" t="str">
        <f>IF(D10&lt;&gt;"",IF(Inputs!$C$9="x","x",Inputs!C20),"")</f>
        <v>x</v>
      </c>
      <c r="B10" s="3">
        <f t="shared" si="1"/>
        <v>9</v>
      </c>
      <c r="C10" s="3" t="str">
        <f t="shared" si="2"/>
        <v>C:\Users\EP00345\EPIA\EPPE Reporting - Input</v>
      </c>
      <c r="D10" s="4" t="s">
        <v>18</v>
      </c>
      <c r="E10" s="8" t="str">
        <f t="shared" si="0"/>
        <v>C:\Users\EP00345\EPIA\EPPE Reporting - Input\LPL.xlsx</v>
      </c>
      <c r="F10" s="3" t="str">
        <f t="shared" si="3"/>
        <v>LPL.xlsx</v>
      </c>
    </row>
    <row r="11" spans="1:6" customFormat="1" x14ac:dyDescent="0.25">
      <c r="A11" s="2" t="str">
        <f>IF(D11&lt;&gt;"",IF(Inputs!$C$9="x","x",Inputs!C21),"")</f>
        <v>x</v>
      </c>
      <c r="B11" s="3">
        <f t="shared" si="1"/>
        <v>10</v>
      </c>
      <c r="C11" s="3" t="str">
        <f t="shared" si="2"/>
        <v>C:\Users\EP00345\EPIA\EPPE Reporting - Input</v>
      </c>
      <c r="D11" s="4" t="s">
        <v>19</v>
      </c>
      <c r="E11" s="8" t="str">
        <f t="shared" si="0"/>
        <v>C:\Users\EP00345\EPIA\EPPE Reporting - Input\HGEL.xlsx</v>
      </c>
      <c r="F11" s="3" t="str">
        <f t="shared" si="3"/>
        <v>HGEL.xlsx</v>
      </c>
    </row>
    <row r="12" spans="1:6" customFormat="1" x14ac:dyDescent="0.25">
      <c r="A12" s="2" t="str">
        <f>IF(D12&lt;&gt;"",IF(Inputs!$C$9="x","x",Inputs!C22),"")</f>
        <v>x</v>
      </c>
      <c r="B12" s="3">
        <f t="shared" si="1"/>
        <v>11</v>
      </c>
      <c r="C12" s="3" t="str">
        <f t="shared" si="2"/>
        <v>C:\Users\EP00345\EPIA\EPPE Reporting - Input</v>
      </c>
      <c r="D12" s="4" t="s">
        <v>20</v>
      </c>
      <c r="E12" s="8" t="str">
        <f t="shared" si="0"/>
        <v>C:\Users\EP00345\EPIA\EPPE Reporting - Input\EPUKI.xlsx</v>
      </c>
      <c r="F12" s="3" t="str">
        <f t="shared" si="3"/>
        <v>EPUKI.xlsx</v>
      </c>
    </row>
    <row r="13" spans="1:6" customFormat="1" x14ac:dyDescent="0.25">
      <c r="A13" s="2" t="str">
        <f>IF(D13&lt;&gt;"",IF(Inputs!$C$9="x","x",Inputs!C23),"")</f>
        <v>x</v>
      </c>
      <c r="B13" s="3">
        <f t="shared" si="1"/>
        <v>12</v>
      </c>
      <c r="C13" s="3" t="str">
        <f t="shared" si="2"/>
        <v>C:\Users\EP00345\EPIA\EPPE Reporting - Input</v>
      </c>
      <c r="D13" s="4" t="s">
        <v>21</v>
      </c>
      <c r="E13" s="8" t="str">
        <f t="shared" si="0"/>
        <v>C:\Users\EP00345\EPIA\EPPE Reporting - Input\TYN.xlsx</v>
      </c>
      <c r="F13" s="3" t="str">
        <f t="shared" si="3"/>
        <v>TYN.xlsx</v>
      </c>
    </row>
    <row r="14" spans="1:6" customFormat="1" x14ac:dyDescent="0.25">
      <c r="A14" s="2" t="str">
        <f>IF(D14&lt;&gt;"",IF(Inputs!$C$9="x","x",Inputs!F12),"")</f>
        <v>x</v>
      </c>
      <c r="B14" s="3">
        <f t="shared" si="1"/>
        <v>13</v>
      </c>
      <c r="C14" s="3" t="str">
        <f t="shared" si="2"/>
        <v>C:\Users\EP00345\EPIA\EPPE Reporting - Input</v>
      </c>
      <c r="D14" s="4" t="s">
        <v>22</v>
      </c>
      <c r="E14" s="8" t="str">
        <f t="shared" si="0"/>
        <v>C:\Users\EP00345\EPIA\EPPE Reporting - Input\EPP.xlsx</v>
      </c>
      <c r="F14" s="3" t="str">
        <f t="shared" si="3"/>
        <v>EPP.xlsx</v>
      </c>
    </row>
    <row r="15" spans="1:6" customFormat="1" x14ac:dyDescent="0.25">
      <c r="A15" s="2" t="str">
        <f>IF(D15&lt;&gt;"",IF(Inputs!$C$9="x","x",Inputs!F13),"")</f>
        <v>x</v>
      </c>
      <c r="B15" s="3">
        <f t="shared" si="1"/>
        <v>14</v>
      </c>
      <c r="C15" s="3" t="str">
        <f t="shared" si="2"/>
        <v>C:\Users\EP00345\EPIA\EPPE Reporting - Input</v>
      </c>
      <c r="D15" s="4" t="s">
        <v>23</v>
      </c>
      <c r="E15" s="8" t="str">
        <f t="shared" si="0"/>
        <v>C:\Users\EP00345\EPIA\EPPE Reporting - Input\EPNEI.xlsx</v>
      </c>
      <c r="F15" s="3" t="str">
        <f t="shared" si="3"/>
        <v>EPNEI.xlsx</v>
      </c>
    </row>
    <row r="16" spans="1:6" customFormat="1" x14ac:dyDescent="0.25">
      <c r="A16" s="2" t="str">
        <f>IF(D16&lt;&gt;"",IF(Inputs!$C$9="x","x",Inputs!F14),"")</f>
        <v>x</v>
      </c>
      <c r="B16" s="3">
        <f t="shared" si="1"/>
        <v>15</v>
      </c>
      <c r="C16" s="3" t="str">
        <f t="shared" si="2"/>
        <v>C:\Users\EP00345\EPIA\EPPE Reporting - Input</v>
      </c>
      <c r="D16" s="4" t="s">
        <v>24</v>
      </c>
      <c r="E16" s="8" t="str">
        <f t="shared" si="0"/>
        <v>C:\Users\EP00345\EPIA\EPPE Reporting - Input\EPF.xlsx</v>
      </c>
      <c r="F16" s="3" t="str">
        <f t="shared" si="3"/>
        <v>EPF.xlsx</v>
      </c>
    </row>
    <row r="17" spans="1:6" customFormat="1" x14ac:dyDescent="0.25">
      <c r="A17" s="2" t="str">
        <f>IF(D17&lt;&gt;"",IF(Inputs!$C$9="x","x",Inputs!F15),"")</f>
        <v>x</v>
      </c>
      <c r="B17" s="3">
        <f t="shared" si="1"/>
        <v>16</v>
      </c>
      <c r="C17" s="3" t="str">
        <f t="shared" si="2"/>
        <v>C:\Users\EP00345\EPIA\EPPE Reporting - Input</v>
      </c>
      <c r="D17" s="4" t="s">
        <v>25</v>
      </c>
      <c r="E17" s="8" t="str">
        <f t="shared" si="0"/>
        <v>C:\Users\EP00345\EPIA\EPPE Reporting - Input\EPC.xlsx</v>
      </c>
      <c r="F17" s="3" t="str">
        <f t="shared" si="3"/>
        <v>EPC.xlsx</v>
      </c>
    </row>
    <row r="18" spans="1:6" customFormat="1" x14ac:dyDescent="0.25">
      <c r="A18" s="2" t="str">
        <f>IF(D18&lt;&gt;"",IF(Inputs!$C$9="x","x",Inputs!F16),"")</f>
        <v>x</v>
      </c>
      <c r="B18" s="3">
        <f t="shared" si="1"/>
        <v>17</v>
      </c>
      <c r="C18" s="3" t="str">
        <f t="shared" si="2"/>
        <v>C:\Users\EP00345\EPIA\EPPE Reporting - Input</v>
      </c>
      <c r="D18" s="4" t="s">
        <v>26</v>
      </c>
      <c r="E18" s="8" t="str">
        <f t="shared" si="0"/>
        <v>C:\Users\EP00345\EPIA\EPPE Reporting - Input\EPR.xlsx</v>
      </c>
      <c r="F18" s="3" t="str">
        <f t="shared" si="3"/>
        <v>EPR.xlsx</v>
      </c>
    </row>
    <row r="19" spans="1:6" customFormat="1" x14ac:dyDescent="0.25">
      <c r="A19" s="2" t="str">
        <f>IF(D19&lt;&gt;"",IF(Inputs!$C$9="x","x",Inputs!F17),"")</f>
        <v>x</v>
      </c>
      <c r="B19" s="3">
        <f t="shared" si="1"/>
        <v>18</v>
      </c>
      <c r="C19" s="3" t="str">
        <f t="shared" si="2"/>
        <v>C:\Users\EP00345\EPIA\EPPE Reporting - Input</v>
      </c>
      <c r="D19" s="4" t="s">
        <v>27</v>
      </c>
      <c r="E19" s="8" t="str">
        <f t="shared" si="0"/>
        <v>C:\Users\EP00345\EPIA\EPPE Reporting - Input\EPR_CZ.xlsx</v>
      </c>
      <c r="F19" s="3" t="str">
        <f t="shared" si="3"/>
        <v>EPR_CZ.xlsx</v>
      </c>
    </row>
    <row r="20" spans="1:6" customFormat="1" x14ac:dyDescent="0.25">
      <c r="A20" s="2" t="str">
        <f>IF(D20&lt;&gt;"",IF(Inputs!$C$9="x","x",Inputs!F18),"")</f>
        <v>x</v>
      </c>
      <c r="B20" s="3">
        <f t="shared" si="1"/>
        <v>19</v>
      </c>
      <c r="C20" s="3" t="str">
        <f t="shared" si="2"/>
        <v>C:\Users\EP00345\EPIA\EPPE Reporting - Input</v>
      </c>
      <c r="D20" s="4" t="s">
        <v>28</v>
      </c>
      <c r="E20" s="8" t="str">
        <f t="shared" si="0"/>
        <v>C:\Users\EP00345\EPIA\EPPE Reporting - Input\EPPM.xlsx</v>
      </c>
      <c r="F20" s="3" t="str">
        <f t="shared" si="3"/>
        <v>EPPM.xlsx</v>
      </c>
    </row>
    <row r="21" spans="1:6" customFormat="1" x14ac:dyDescent="0.25">
      <c r="A21" s="2" t="str">
        <f>IF(D21&lt;&gt;"",IF(Inputs!$C$9="x","x",Inputs!F19),"")</f>
        <v>x</v>
      </c>
      <c r="B21" s="3">
        <f t="shared" si="1"/>
        <v>20</v>
      </c>
      <c r="C21" s="3" t="str">
        <f t="shared" si="2"/>
        <v>C:\Users\EP00345\EPIA\EPPE Reporting - Input</v>
      </c>
      <c r="D21" s="4" t="s">
        <v>29</v>
      </c>
      <c r="E21" s="8" t="str">
        <f t="shared" si="0"/>
        <v>C:\Users\EP00345\EPIA\EPPE Reporting - Input\EPPE.xlsx</v>
      </c>
      <c r="F21" s="3" t="str">
        <f t="shared" si="3"/>
        <v>EPPE.xlsx</v>
      </c>
    </row>
    <row r="22" spans="1:6" customFormat="1" x14ac:dyDescent="0.25">
      <c r="A22" s="2" t="str">
        <f>IF(D22&lt;&gt;"",IF(Inputs!$C$9="x","x",Inputs!F20),"")</f>
        <v>x</v>
      </c>
      <c r="B22" s="3">
        <f t="shared" si="1"/>
        <v>21</v>
      </c>
      <c r="C22" s="3" t="str">
        <f t="shared" si="2"/>
        <v>C:\Users\EP00345\EPIA\EPPE Reporting - Input</v>
      </c>
      <c r="D22" s="4" t="s">
        <v>30</v>
      </c>
      <c r="E22" s="8" t="str">
        <f t="shared" si="0"/>
        <v>C:\Users\EP00345\EPIA\EPPE Reporting - Input\CHP.xlsx</v>
      </c>
      <c r="F22" s="3" t="str">
        <f t="shared" si="3"/>
        <v>CHP.xlsx</v>
      </c>
    </row>
    <row r="23" spans="1:6" customFormat="1" x14ac:dyDescent="0.25">
      <c r="A23" s="2" t="str">
        <f>IF(D23&lt;&gt;"",IF(Inputs!$C$9="x","x",Inputs!F21),"")</f>
        <v>x</v>
      </c>
      <c r="B23" s="3">
        <f t="shared" si="1"/>
        <v>22</v>
      </c>
      <c r="C23" s="3" t="str">
        <f t="shared" si="2"/>
        <v>C:\Users\EP00345\EPIA\EPPE Reporting - Input</v>
      </c>
      <c r="D23" s="4" t="s">
        <v>31</v>
      </c>
      <c r="E23" s="8" t="str">
        <f t="shared" si="0"/>
        <v>C:\Users\EP00345\EPIA\EPPE Reporting - Input\LEAG.xlsx</v>
      </c>
      <c r="F23" s="3" t="str">
        <f t="shared" si="3"/>
        <v>LEAG.xlsx</v>
      </c>
    </row>
    <row r="24" spans="1:6" customFormat="1" x14ac:dyDescent="0.25">
      <c r="A24" s="2" t="str">
        <f>IF(D24&lt;&gt;"",IF(Inputs!$C$9="x","x",Inputs!F22),"")</f>
        <v>x</v>
      </c>
      <c r="B24" s="3">
        <f t="shared" si="1"/>
        <v>23</v>
      </c>
      <c r="C24" s="3" t="str">
        <f t="shared" si="2"/>
        <v>C:\Users\EP00345\EPIA\EPPE Reporting - Input</v>
      </c>
      <c r="D24" s="4" t="s">
        <v>32</v>
      </c>
      <c r="E24" s="8" t="str">
        <f t="shared" si="0"/>
        <v>C:\Users\EP00345\EPIA\EPPE Reporting - Input\SE.xlsx</v>
      </c>
      <c r="F24" s="3" t="str">
        <f t="shared" si="3"/>
        <v>SE.xlsx</v>
      </c>
    </row>
    <row r="25" spans="1:6" customFormat="1" x14ac:dyDescent="0.25">
      <c r="A25" s="2" t="str">
        <f>IF(D25&lt;&gt;"",IF(Inputs!$C$9="x","x",Inputs!F23),"")</f>
        <v>x</v>
      </c>
      <c r="B25" s="3">
        <f t="shared" si="1"/>
        <v>24</v>
      </c>
      <c r="C25" s="3" t="str">
        <f t="shared" si="2"/>
        <v>C:\Users\EP00345\EPIA\EPPE Reporting - Input</v>
      </c>
      <c r="D25" s="4" t="s">
        <v>33</v>
      </c>
      <c r="E25" s="8" t="str">
        <f t="shared" si="0"/>
        <v>C:\Users\EP00345\EPIA\EPPE Reporting - Input\ERG.xlsx</v>
      </c>
      <c r="F25" s="3" t="str">
        <f t="shared" si="3"/>
        <v>ERG.xlsx</v>
      </c>
    </row>
    <row r="26" spans="1:6" customFormat="1" x14ac:dyDescent="0.25">
      <c r="A26" s="2" t="str">
        <f>IF(D26&lt;&gt;"",IF(Inputs!$C$9="x","x",Inputs!F24),"")</f>
        <v/>
      </c>
      <c r="B26" s="3">
        <f t="shared" si="1"/>
        <v>25</v>
      </c>
      <c r="C26" s="3" t="str">
        <f t="shared" si="2"/>
        <v/>
      </c>
      <c r="D26" s="4"/>
      <c r="E26" s="3" t="str">
        <f t="shared" ref="E4:E37" si="4">IF(D26&lt;&gt;"",CONCATENATE(C26,D26,".xlsx"),"")</f>
        <v/>
      </c>
      <c r="F26" s="3" t="str">
        <f t="shared" si="3"/>
        <v/>
      </c>
    </row>
    <row r="27" spans="1:6" customFormat="1" x14ac:dyDescent="0.25">
      <c r="A27" s="2" t="str">
        <f>IF(D27&lt;&gt;"",IF(Inputs!$C$9="x","x",Inputs!F25),"")</f>
        <v/>
      </c>
      <c r="B27" s="3">
        <f t="shared" si="1"/>
        <v>26</v>
      </c>
      <c r="C27" s="3" t="str">
        <f t="shared" si="2"/>
        <v/>
      </c>
      <c r="D27" s="4"/>
      <c r="E27" s="3" t="str">
        <f t="shared" si="4"/>
        <v/>
      </c>
      <c r="F27" s="3" t="str">
        <f t="shared" si="3"/>
        <v/>
      </c>
    </row>
    <row r="28" spans="1:6" customFormat="1" x14ac:dyDescent="0.25">
      <c r="A28" s="2" t="str">
        <f>IF(D28&lt;&gt;"",IF(Inputs!$C$9="x","x",Inputs!F26),"")</f>
        <v/>
      </c>
      <c r="B28" s="3">
        <f t="shared" si="1"/>
        <v>27</v>
      </c>
      <c r="C28" s="3" t="str">
        <f t="shared" si="2"/>
        <v/>
      </c>
      <c r="D28" s="4"/>
      <c r="E28" s="3" t="str">
        <f t="shared" si="4"/>
        <v/>
      </c>
      <c r="F28" s="3" t="str">
        <f t="shared" si="3"/>
        <v/>
      </c>
    </row>
    <row r="29" spans="1:6" customFormat="1" x14ac:dyDescent="0.25">
      <c r="A29" s="2" t="str">
        <f>IF(D29&lt;&gt;"",IF(Inputs!$C$9="x","x",Inputs!F27),"")</f>
        <v/>
      </c>
      <c r="B29" s="3">
        <f t="shared" si="1"/>
        <v>28</v>
      </c>
      <c r="C29" s="3" t="str">
        <f t="shared" si="2"/>
        <v/>
      </c>
      <c r="D29" s="4"/>
      <c r="E29" s="3" t="str">
        <f t="shared" si="4"/>
        <v/>
      </c>
      <c r="F29" s="3" t="str">
        <f t="shared" si="3"/>
        <v/>
      </c>
    </row>
    <row r="30" spans="1:6" customFormat="1" x14ac:dyDescent="0.25">
      <c r="A30" s="2" t="str">
        <f>IF(D30&lt;&gt;"",IF(Inputs!$C$9="x","x",Inputs!F28),"")</f>
        <v/>
      </c>
      <c r="B30" s="3">
        <f t="shared" si="1"/>
        <v>29</v>
      </c>
      <c r="C30" s="3" t="str">
        <f t="shared" si="2"/>
        <v/>
      </c>
      <c r="D30" s="4"/>
      <c r="E30" s="3" t="str">
        <f t="shared" si="4"/>
        <v/>
      </c>
      <c r="F30" s="3" t="str">
        <f t="shared" si="3"/>
        <v/>
      </c>
    </row>
    <row r="31" spans="1:6" customFormat="1" x14ac:dyDescent="0.25">
      <c r="A31" s="2" t="str">
        <f>IF(D31&lt;&gt;"",IF(Inputs!$C$9="x","x",Inputs!F29),"")</f>
        <v/>
      </c>
      <c r="B31" s="3">
        <f t="shared" si="1"/>
        <v>30</v>
      </c>
      <c r="C31" s="3" t="str">
        <f t="shared" si="2"/>
        <v/>
      </c>
      <c r="D31" s="4"/>
      <c r="E31" s="3" t="str">
        <f t="shared" si="4"/>
        <v/>
      </c>
      <c r="F31" s="3" t="str">
        <f t="shared" si="3"/>
        <v/>
      </c>
    </row>
    <row r="32" spans="1:6" customFormat="1" x14ac:dyDescent="0.25">
      <c r="A32" s="2" t="str">
        <f>IF(D32&lt;&gt;"",IF(Inputs!$C$9="x","x",Inputs!F30),"")</f>
        <v/>
      </c>
      <c r="B32" s="3">
        <f t="shared" si="1"/>
        <v>31</v>
      </c>
      <c r="C32" s="3" t="str">
        <f t="shared" si="2"/>
        <v/>
      </c>
      <c r="D32" s="4"/>
      <c r="E32" s="3" t="str">
        <f t="shared" si="4"/>
        <v/>
      </c>
      <c r="F32" s="3" t="str">
        <f t="shared" si="3"/>
        <v/>
      </c>
    </row>
    <row r="33" spans="1:6" customFormat="1" x14ac:dyDescent="0.25">
      <c r="A33" s="2" t="str">
        <f>IF(D33&lt;&gt;"",IF(Inputs!$C$9="x","x",Inputs!F31),"")</f>
        <v/>
      </c>
      <c r="B33" s="3">
        <f t="shared" si="1"/>
        <v>32</v>
      </c>
      <c r="C33" s="3" t="str">
        <f t="shared" si="2"/>
        <v/>
      </c>
      <c r="D33" s="4"/>
      <c r="E33" s="3" t="str">
        <f t="shared" si="4"/>
        <v/>
      </c>
      <c r="F33" s="3" t="str">
        <f t="shared" si="3"/>
        <v/>
      </c>
    </row>
    <row r="34" spans="1:6" customFormat="1" x14ac:dyDescent="0.25">
      <c r="A34" s="2" t="str">
        <f>IF(D34&lt;&gt;"",IF(Inputs!$C$9="x","x",Inputs!F32),"")</f>
        <v/>
      </c>
      <c r="B34" s="3">
        <f t="shared" si="1"/>
        <v>33</v>
      </c>
      <c r="C34" s="3" t="str">
        <f t="shared" si="2"/>
        <v/>
      </c>
      <c r="D34" s="4"/>
      <c r="E34" s="3" t="str">
        <f t="shared" si="4"/>
        <v/>
      </c>
      <c r="F34" s="3" t="str">
        <f t="shared" si="3"/>
        <v/>
      </c>
    </row>
    <row r="35" spans="1:6" customFormat="1" x14ac:dyDescent="0.25">
      <c r="A35" s="2" t="str">
        <f>IF(D35&lt;&gt;"",IF(Inputs!$C$9="x","x",Inputs!F33),"")</f>
        <v/>
      </c>
      <c r="B35" s="3">
        <f t="shared" si="1"/>
        <v>34</v>
      </c>
      <c r="C35" s="3" t="str">
        <f t="shared" si="2"/>
        <v/>
      </c>
      <c r="D35" s="4"/>
      <c r="E35" s="3" t="str">
        <f t="shared" si="4"/>
        <v/>
      </c>
      <c r="F35" s="3" t="str">
        <f t="shared" si="3"/>
        <v/>
      </c>
    </row>
    <row r="36" spans="1:6" customFormat="1" x14ac:dyDescent="0.25">
      <c r="A36" s="2" t="str">
        <f>IF(D36&lt;&gt;"",IF(Inputs!$C$9="x","x",Inputs!F34),"")</f>
        <v/>
      </c>
      <c r="B36" s="3">
        <f t="shared" si="1"/>
        <v>35</v>
      </c>
      <c r="C36" s="3" t="str">
        <f t="shared" si="2"/>
        <v/>
      </c>
      <c r="D36" s="4"/>
      <c r="E36" s="3" t="str">
        <f t="shared" si="4"/>
        <v/>
      </c>
      <c r="F36" s="3" t="str">
        <f t="shared" si="3"/>
        <v/>
      </c>
    </row>
    <row r="37" spans="1:6" customFormat="1" x14ac:dyDescent="0.25">
      <c r="A37" s="2" t="str">
        <f>IF(D37&lt;&gt;"",IF(Inputs!$C$9="x","x",Inputs!F35),"")</f>
        <v/>
      </c>
      <c r="B37" s="6">
        <f t="shared" si="1"/>
        <v>36</v>
      </c>
      <c r="C37" s="6" t="str">
        <f t="shared" si="2"/>
        <v/>
      </c>
      <c r="D37" s="7"/>
      <c r="E37" s="6" t="str">
        <f t="shared" si="4"/>
        <v/>
      </c>
      <c r="F37" s="6" t="str">
        <f t="shared" si="3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Companies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Obukhov, Maksim</dc:creator>
  <cp:lastModifiedBy>Obukhov, Maksim</cp:lastModifiedBy>
  <dcterms:created xsi:type="dcterms:W3CDTF">2022-08-16T10:14:41Z</dcterms:created>
  <dcterms:modified xsi:type="dcterms:W3CDTF">2022-08-16T11:09:46Z</dcterms:modified>
</cp:coreProperties>
</file>