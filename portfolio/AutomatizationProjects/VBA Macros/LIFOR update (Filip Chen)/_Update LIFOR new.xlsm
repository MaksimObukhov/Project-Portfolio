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ia-my.sharepoint.com/personal/maksim_obukhov_epholding_cz/Documents/Desktop/Macros/LIFOR update (Filip Chen)/"/>
    </mc:Choice>
  </mc:AlternateContent>
  <xr:revisionPtr revIDLastSave="174" documentId="8_{478F1182-52B0-45CB-A4CD-55685D756EC9}" xr6:coauthVersionLast="47" xr6:coauthVersionMax="47" xr10:uidLastSave="{8DBC4887-F08D-42D4-8BE8-097FC39A861B}"/>
  <bookViews>
    <workbookView xWindow="-120" yWindow="-120" windowWidth="29040" windowHeight="15840" xr2:uid="{00000000-000D-0000-FFFF-FFFF00000000}"/>
  </bookViews>
  <sheets>
    <sheet name="Inputs" sheetId="3" r:id="rId1"/>
    <sheet name="Companies" sheetId="1" r:id="rId2"/>
    <sheet name="Groups" sheetId="5" r:id="rId3"/>
  </sheets>
  <definedNames>
    <definedName name="_xlnm._FilterDatabase" localSheetId="1" hidden="1">Companies!#REF!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" l="1"/>
  <c r="J11" i="3"/>
  <c r="D17" i="3"/>
  <c r="H11" i="3" l="1"/>
  <c r="J10" i="3"/>
  <c r="H10" i="3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D13" i="3" l="1" a="1"/>
  <c r="D13" i="3" s="1"/>
  <c r="G24" i="3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<sst xmlns="http://schemas.openxmlformats.org/spreadsheetml/2006/main" count="132" uniqueCount="76">
  <si>
    <t>No.</t>
  </si>
  <si>
    <t>EPR_CZ</t>
  </si>
  <si>
    <t>Month</t>
  </si>
  <si>
    <t>Reporting period</t>
  </si>
  <si>
    <t>Year</t>
  </si>
  <si>
    <t>Inputs</t>
  </si>
  <si>
    <t xml:space="preserve">For companies from </t>
  </si>
  <si>
    <t>to</t>
  </si>
  <si>
    <t>Update input packs:</t>
  </si>
  <si>
    <t>or</t>
  </si>
  <si>
    <t>seconds</t>
  </si>
  <si>
    <t>Delay between actions</t>
  </si>
  <si>
    <t>Workbook:</t>
  </si>
  <si>
    <t>Current folder</t>
  </si>
  <si>
    <t>BAL</t>
  </si>
  <si>
    <t>EPC</t>
  </si>
  <si>
    <t>EPF</t>
  </si>
  <si>
    <t>EPNEI</t>
  </si>
  <si>
    <t>EPP</t>
  </si>
  <si>
    <t>EPPE</t>
  </si>
  <si>
    <t>EPPM</t>
  </si>
  <si>
    <t>EPR</t>
  </si>
  <si>
    <t>EPUKI</t>
  </si>
  <si>
    <t>HGEL</t>
  </si>
  <si>
    <t>JTSD</t>
  </si>
  <si>
    <t>KIL</t>
  </si>
  <si>
    <t>LAN</t>
  </si>
  <si>
    <t>LPL</t>
  </si>
  <si>
    <t>SHB</t>
  </si>
  <si>
    <t>TYN</t>
  </si>
  <si>
    <t>GEG</t>
  </si>
  <si>
    <t>Aero</t>
  </si>
  <si>
    <t>Sursch</t>
  </si>
  <si>
    <t>GEReno</t>
  </si>
  <si>
    <t>GESolair</t>
  </si>
  <si>
    <t>GESolut</t>
  </si>
  <si>
    <t>BC</t>
  </si>
  <si>
    <t>BI</t>
  </si>
  <si>
    <t>FUS</t>
  </si>
  <si>
    <t>LF</t>
  </si>
  <si>
    <t>FS</t>
  </si>
  <si>
    <t>CEF</t>
  </si>
  <si>
    <t>EGG</t>
  </si>
  <si>
    <t>HSR</t>
  </si>
  <si>
    <t>EPM</t>
  </si>
  <si>
    <t>KWM</t>
  </si>
  <si>
    <t>Company (as per input sheet)</t>
  </si>
  <si>
    <t>Group</t>
  </si>
  <si>
    <t>EPR_PL</t>
  </si>
  <si>
    <t>EPNI</t>
  </si>
  <si>
    <t>ILL</t>
  </si>
  <si>
    <t>DYN</t>
  </si>
  <si>
    <t>MP</t>
  </si>
  <si>
    <t>n/a</t>
  </si>
  <si>
    <t>HoldCos</t>
  </si>
  <si>
    <t>JTSD_agg</t>
  </si>
  <si>
    <t>EPP_agg</t>
  </si>
  <si>
    <t>EPNEI_agg</t>
  </si>
  <si>
    <t>EPF_agg</t>
  </si>
  <si>
    <t>MEH_agg</t>
  </si>
  <si>
    <t>EPUKI_group</t>
  </si>
  <si>
    <t>EPPM_agg</t>
  </si>
  <si>
    <t>And groups from</t>
  </si>
  <si>
    <t>Folder with LIFOR</t>
  </si>
  <si>
    <t>LIFOR path</t>
  </si>
  <si>
    <t>Macro for update of monthly LIFOR</t>
  </si>
  <si>
    <t>LIFOR file name (incl. "xlsx")</t>
  </si>
  <si>
    <t>SEG</t>
  </si>
  <si>
    <t>EPR_CZ_agg</t>
  </si>
  <si>
    <t>MIB</t>
  </si>
  <si>
    <t>TZN</t>
  </si>
  <si>
    <t>M&amp;S</t>
  </si>
  <si>
    <t>_Update LIFOR new.xlsm</t>
  </si>
  <si>
    <t>C:\Users\EP00345\OneDrive - EPIA\Desktop\</t>
  </si>
  <si>
    <t>LIFOR template test.xlsx</t>
  </si>
  <si>
    <t>Version updated as of 31/08/2022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</si>
</sst>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sz val="11"/>
      <color rgb="FFD0021B"/>
      <name val="Consolas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1C46"/>
        <bgColor indexed="64"/>
      </patternFill>
    </fill>
    <fill>
      <patternFill patternType="solid">
        <fgColor rgb="FFFADEE5"/>
        <bgColor indexed="64"/>
      </patternFill>
    </fill>
    <fill>
      <patternFill patternType="solid">
        <fgColor rgb="FFE8D9F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3" fontId="8" fillId="9" borderId="1"/>
    <xf numFmtId="3" fontId="9" fillId="10" borderId="0"/>
  </cellStyleXfs>
  <cellXfs count="30">
    <xf numFmtId="0" fontId="0" fillId="0" borderId="0" xfId="0"/>
    <xf numFmtId="0" fontId="0" fillId="0" borderId="2" xfId="0" applyBorder="1"/>
    <xf numFmtId="0" fontId="0" fillId="0" borderId="3" xfId="0" applyBorder="1"/>
    <xf numFmtId="0" fontId="1" fillId="2" borderId="1" xfId="0" applyFont="1" applyFill="1" applyBorder="1"/>
    <xf numFmtId="0" fontId="0" fillId="0" borderId="4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" fillId="4" borderId="0" xfId="0" applyFont="1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4" fillId="0" borderId="0" xfId="0" applyFont="1"/>
    <xf numFmtId="0" fontId="6" fillId="0" borderId="0" xfId="0" applyFont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left"/>
    </xf>
    <xf numFmtId="0" fontId="0" fillId="0" borderId="8" xfId="0" applyBorder="1"/>
    <xf numFmtId="0" fontId="7" fillId="0" borderId="0" xfId="0" applyFont="1"/>
    <xf numFmtId="0" fontId="0" fillId="3" borderId="0" xfId="0" applyFill="1" applyProtection="1">
      <protection locked="0"/>
    </xf>
    <xf numFmtId="0" fontId="0" fillId="0" borderId="5" xfId="0" applyBorder="1"/>
    <xf numFmtId="0" fontId="0" fillId="0" borderId="6" xfId="0" applyBorder="1"/>
    <xf numFmtId="0" fontId="0" fillId="0" borderId="0" xfId="0" applyProtection="1">
      <protection locked="0"/>
    </xf>
    <xf numFmtId="0" fontId="0" fillId="7" borderId="4" xfId="0" applyFill="1" applyBorder="1"/>
    <xf numFmtId="0" fontId="0" fillId="7" borderId="2" xfId="0" applyFill="1" applyBorder="1"/>
    <xf numFmtId="0" fontId="0" fillId="8" borderId="2" xfId="0" applyFill="1" applyBorder="1"/>
    <xf numFmtId="0" fontId="0" fillId="8" borderId="3" xfId="0" applyFill="1" applyBorder="1"/>
    <xf numFmtId="3" fontId="10" fillId="0" borderId="1" xfId="1" applyFont="1" applyFill="1"/>
    <xf numFmtId="3" fontId="11" fillId="11" borderId="1" xfId="2" applyFont="1" applyFill="1" applyBorder="1"/>
    <xf numFmtId="3" fontId="10" fillId="12" borderId="1" xfId="1" applyFont="1" applyFill="1"/>
    <xf numFmtId="3" fontId="10" fillId="13" borderId="1" xfId="1" applyFont="1" applyFill="1"/>
  </cellXfs>
  <cellStyles count="3">
    <cellStyle name="2 Uploaded and Calculated 2" xfId="1" xr:uid="{E5A10B4E-3953-4D65-8705-A69846FE42D0}"/>
    <cellStyle name="7 Style" xfId="2" xr:uid="{B56BA760-E5C2-40AC-8C3D-255C81AC3584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57150</xdr:rowOff>
        </xdr:from>
        <xdr:to>
          <xdr:col>2</xdr:col>
          <xdr:colOff>85725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46F2E-2C1C-41DC-88B2-012D1CB31893}">
  <sheetPr codeName="Sheet3"/>
  <dimension ref="A1:M249"/>
  <sheetViews>
    <sheetView showGridLines="0" tabSelected="1" zoomScaleNormal="100" workbookViewId="0">
      <selection activeCell="D13" sqref="D13"/>
    </sheetView>
  </sheetViews>
  <sheetFormatPr defaultColWidth="9.140625" defaultRowHeight="15" x14ac:dyDescent="0.25"/>
  <cols>
    <col min="1" max="1" width="3.7109375" style="10" customWidth="1"/>
    <col min="2" max="2" width="16.140625" style="10" bestFit="1" customWidth="1"/>
    <col min="3" max="11" width="10" style="10" customWidth="1"/>
    <col min="12" max="12" width="21.42578125" style="10" customWidth="1"/>
    <col min="13" max="13" width="3.7109375" style="10" customWidth="1"/>
    <col min="14" max="14" width="9.140625" style="11" customWidth="1"/>
    <col min="15" max="16384" width="9.140625" style="11"/>
  </cols>
  <sheetData>
    <row r="1" spans="1:13" x14ac:dyDescent="0.25">
      <c r="A1"/>
      <c r="B1"/>
      <c r="C1"/>
      <c r="D1"/>
      <c r="E1"/>
      <c r="F1"/>
      <c r="G1"/>
      <c r="H1"/>
      <c r="I1"/>
      <c r="J1"/>
      <c r="K1"/>
      <c r="L1"/>
      <c r="M1"/>
    </row>
    <row r="2" spans="1:13" ht="18.75" x14ac:dyDescent="0.3">
      <c r="A2"/>
      <c r="B2" s="12" t="s">
        <v>65</v>
      </c>
      <c r="C2"/>
      <c r="D2"/>
      <c r="E2"/>
      <c r="F2"/>
      <c r="G2"/>
      <c r="H2"/>
      <c r="I2"/>
      <c r="J2"/>
      <c r="K2"/>
      <c r="L2" s="13" t="s">
        <v>75</v>
      </c>
      <c r="M2"/>
    </row>
    <row r="3" spans="1:1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3" x14ac:dyDescent="0.25">
      <c r="A4"/>
      <c r="B4" s="8" t="s">
        <v>5</v>
      </c>
      <c r="C4" s="9"/>
      <c r="D4" s="9"/>
      <c r="E4" s="9"/>
      <c r="F4" s="9"/>
      <c r="G4" s="9"/>
      <c r="H4" s="9"/>
      <c r="I4" s="9"/>
      <c r="J4" s="9"/>
      <c r="K4" s="9"/>
      <c r="L4" s="9"/>
      <c r="M4"/>
    </row>
    <row r="5" spans="1:13" ht="5.0999999999999996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</row>
    <row r="6" spans="1:13" x14ac:dyDescent="0.25">
      <c r="A6"/>
      <c r="B6" t="s">
        <v>4</v>
      </c>
      <c r="C6" s="18">
        <v>2022</v>
      </c>
      <c r="D6"/>
      <c r="E6"/>
      <c r="F6"/>
      <c r="G6"/>
      <c r="H6"/>
      <c r="I6"/>
      <c r="J6" s="15" t="s">
        <v>12</v>
      </c>
      <c r="K6" s="16"/>
      <c r="L6" s="14" t="s">
        <v>72</v>
      </c>
      <c r="M6"/>
    </row>
    <row r="7" spans="1:13" x14ac:dyDescent="0.25">
      <c r="A7"/>
      <c r="B7" t="s">
        <v>2</v>
      </c>
      <c r="C7" s="18">
        <v>8</v>
      </c>
      <c r="D7" s="5"/>
      <c r="E7"/>
      <c r="F7"/>
      <c r="G7"/>
      <c r="H7"/>
      <c r="I7"/>
      <c r="J7"/>
      <c r="K7"/>
      <c r="L7"/>
      <c r="M7"/>
    </row>
    <row r="8" spans="1:13" x14ac:dyDescent="0.25">
      <c r="A8"/>
      <c r="B8" t="s">
        <v>3</v>
      </c>
      <c r="C8" s="5" t="str">
        <f>CONCATENATE(C6,"M",C7)</f>
        <v>2022M8</v>
      </c>
      <c r="D8"/>
      <c r="E8"/>
      <c r="F8"/>
      <c r="G8"/>
      <c r="H8"/>
      <c r="I8"/>
      <c r="J8"/>
      <c r="K8"/>
      <c r="L8" s="17"/>
      <c r="M8"/>
    </row>
    <row r="9" spans="1:13" x14ac:dyDescent="0.25">
      <c r="A9"/>
      <c r="B9"/>
      <c r="C9" s="5"/>
      <c r="D9"/>
      <c r="E9"/>
      <c r="F9"/>
      <c r="G9"/>
      <c r="H9"/>
      <c r="I9"/>
      <c r="J9"/>
      <c r="K9"/>
      <c r="L9" s="17"/>
      <c r="M9"/>
    </row>
    <row r="10" spans="1:13" x14ac:dyDescent="0.25">
      <c r="A10"/>
      <c r="B10" t="s">
        <v>6</v>
      </c>
      <c r="C10"/>
      <c r="D10" s="18" t="s">
        <v>67</v>
      </c>
      <c r="E10" s="6" t="s">
        <v>7</v>
      </c>
      <c r="F10" s="18" t="s">
        <v>52</v>
      </c>
      <c r="G10" s="5" t="s">
        <v>9</v>
      </c>
      <c r="H10">
        <f>MATCH(D10,Companies!$C$2:$C$50,0)</f>
        <v>1</v>
      </c>
      <c r="I10" s="6" t="s">
        <v>7</v>
      </c>
      <c r="J10">
        <f>MATCH(F10,Companies!$C$2:$C$50,0)</f>
        <v>42</v>
      </c>
      <c r="K10"/>
      <c r="L10"/>
      <c r="M10"/>
    </row>
    <row r="11" spans="1:13" x14ac:dyDescent="0.25">
      <c r="A11"/>
      <c r="B11" t="s">
        <v>62</v>
      </c>
      <c r="C11"/>
      <c r="D11" s="18" t="s">
        <v>55</v>
      </c>
      <c r="E11" s="6" t="s">
        <v>7</v>
      </c>
      <c r="F11" s="18" t="s">
        <v>54</v>
      </c>
      <c r="G11" s="5" t="s">
        <v>9</v>
      </c>
      <c r="H11">
        <f>MATCH(D11,Groups!$B$2:$B$9,0)</f>
        <v>1</v>
      </c>
      <c r="I11" s="6" t="s">
        <v>7</v>
      </c>
      <c r="J11">
        <f>MATCH(F11,Groups!$B$2:$B$14,0)</f>
        <v>13</v>
      </c>
      <c r="K11"/>
      <c r="L11"/>
      <c r="M11"/>
    </row>
    <row r="12" spans="1:13" x14ac:dyDescent="0.25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3" x14ac:dyDescent="0.25">
      <c r="A13"/>
      <c r="B13" t="s">
        <v>13</v>
      </c>
      <c r="C13"/>
      <c r="D13" t="str" cm="1">
        <f t="array" aca="1" ref="D13" ca="1">LEFT(CELL("filename",A1),FIND("[",CELL("filename",A1))-1)</f>
        <v>https://epia-my.sharepoint.com/personal/maksim_obukhov_epholding_cz/Documents/Desktop/Macros/LIFOR update (Filip Chen)/</v>
      </c>
      <c r="E13"/>
      <c r="F13"/>
      <c r="G13"/>
      <c r="H13"/>
      <c r="I13"/>
      <c r="J13"/>
      <c r="K13"/>
      <c r="L13"/>
      <c r="M13"/>
    </row>
    <row r="14" spans="1:13" x14ac:dyDescent="0.25">
      <c r="A14"/>
      <c r="B14" t="s">
        <v>63</v>
      </c>
      <c r="C14"/>
      <c r="D14" s="18" t="s">
        <v>73</v>
      </c>
      <c r="E14" s="18"/>
      <c r="F14" s="18"/>
      <c r="G14" s="18"/>
      <c r="H14" s="18"/>
      <c r="I14" s="18"/>
      <c r="J14" s="18"/>
      <c r="K14" s="18"/>
      <c r="L14" s="18"/>
      <c r="M14"/>
    </row>
    <row r="15" spans="1:13" x14ac:dyDescent="0.25">
      <c r="A15"/>
      <c r="B15"/>
      <c r="C15"/>
      <c r="D15" s="21"/>
      <c r="E15" s="21"/>
      <c r="F15" s="21"/>
      <c r="G15" s="21"/>
      <c r="H15" s="21"/>
      <c r="I15" s="21"/>
      <c r="J15" s="21"/>
      <c r="K15" s="21"/>
      <c r="L15" s="21"/>
      <c r="M15"/>
    </row>
    <row r="16" spans="1:13" x14ac:dyDescent="0.25">
      <c r="A16"/>
      <c r="B16" t="s">
        <v>66</v>
      </c>
      <c r="C16"/>
      <c r="D16" s="18" t="s">
        <v>74</v>
      </c>
      <c r="E16" s="18"/>
      <c r="F16" s="18"/>
      <c r="G16" s="18"/>
      <c r="H16" s="18"/>
      <c r="I16" s="18"/>
      <c r="J16" s="18"/>
      <c r="K16" s="18"/>
      <c r="L16" s="18"/>
      <c r="M16"/>
    </row>
    <row r="17" spans="1:13" x14ac:dyDescent="0.25">
      <c r="A17"/>
      <c r="B17" t="s">
        <v>64</v>
      </c>
      <c r="C17"/>
      <c r="D17" s="21" t="str">
        <f>CONCATENATE(D14,D16)</f>
        <v>C:\Users\EP00345\OneDrive - EPIA\Desktop\LIFOR template test.xlsx</v>
      </c>
      <c r="E17" s="21"/>
      <c r="F17" s="21"/>
      <c r="G17" s="21"/>
      <c r="H17" s="21"/>
      <c r="I17" s="21"/>
      <c r="J17" s="21"/>
      <c r="K17" s="21"/>
      <c r="L17" s="21"/>
      <c r="M17"/>
    </row>
    <row r="18" spans="1:13" x14ac:dyDescent="0.25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B19" s="7" t="s">
        <v>8</v>
      </c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B20" s="7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B24" t="s">
        <v>11</v>
      </c>
      <c r="C24"/>
      <c r="D24" s="18">
        <v>0</v>
      </c>
      <c r="E24" t="s">
        <v>10</v>
      </c>
      <c r="F24" s="6" t="s">
        <v>9</v>
      </c>
      <c r="G24" s="5" t="str">
        <f>CONCATENATE("00:00:0",D24)</f>
        <v>00:00:00</v>
      </c>
      <c r="H24"/>
      <c r="I24"/>
      <c r="J24"/>
      <c r="K24"/>
      <c r="L24"/>
      <c r="M24"/>
    </row>
    <row r="25" spans="1:13" x14ac:dyDescent="0.25">
      <c r="A25"/>
      <c r="B25"/>
      <c r="C25"/>
      <c r="D25"/>
      <c r="E25"/>
      <c r="F25"/>
      <c r="G25"/>
      <c r="H25"/>
      <c r="I25"/>
      <c r="J25"/>
      <c r="K25"/>
      <c r="L25"/>
      <c r="M25"/>
    </row>
    <row r="166" spans="12:13" x14ac:dyDescent="0.25">
      <c r="L166" s="26"/>
      <c r="M166" s="29"/>
    </row>
    <row r="167" spans="12:13" x14ac:dyDescent="0.25">
      <c r="L167" s="26"/>
      <c r="M167" s="29"/>
    </row>
    <row r="168" spans="12:13" x14ac:dyDescent="0.25">
      <c r="L168" s="26"/>
      <c r="M168" s="29"/>
    </row>
    <row r="169" spans="12:13" x14ac:dyDescent="0.25">
      <c r="L169" s="27"/>
      <c r="M169" s="27"/>
    </row>
    <row r="170" spans="12:13" x14ac:dyDescent="0.25">
      <c r="L170" s="26"/>
      <c r="M170" s="29"/>
    </row>
    <row r="171" spans="12:13" x14ac:dyDescent="0.25">
      <c r="L171" s="26"/>
      <c r="M171" s="29"/>
    </row>
    <row r="172" spans="12:13" x14ac:dyDescent="0.25">
      <c r="L172" s="26"/>
      <c r="M172" s="29"/>
    </row>
    <row r="173" spans="12:13" x14ac:dyDescent="0.25">
      <c r="L173" s="27"/>
      <c r="M173" s="27"/>
    </row>
    <row r="174" spans="12:13" x14ac:dyDescent="0.25">
      <c r="L174" s="26"/>
      <c r="M174" s="29"/>
    </row>
    <row r="175" spans="12:13" x14ac:dyDescent="0.25">
      <c r="L175" s="26"/>
      <c r="M175" s="29"/>
    </row>
    <row r="176" spans="12:13" x14ac:dyDescent="0.25">
      <c r="L176" s="26"/>
      <c r="M176" s="29"/>
    </row>
    <row r="177" spans="12:13" x14ac:dyDescent="0.25">
      <c r="L177" s="27"/>
      <c r="M177" s="27"/>
    </row>
    <row r="178" spans="12:13" x14ac:dyDescent="0.25">
      <c r="L178" s="26"/>
      <c r="M178" s="29"/>
    </row>
    <row r="179" spans="12:13" x14ac:dyDescent="0.25">
      <c r="L179" s="26"/>
      <c r="M179" s="29"/>
    </row>
    <row r="180" spans="12:13" x14ac:dyDescent="0.25">
      <c r="L180" s="26"/>
      <c r="M180" s="29"/>
    </row>
    <row r="181" spans="12:13" x14ac:dyDescent="0.25">
      <c r="L181" s="27"/>
      <c r="M181" s="27"/>
    </row>
    <row r="182" spans="12:13" x14ac:dyDescent="0.25">
      <c r="L182" s="26"/>
      <c r="M182" s="29"/>
    </row>
    <row r="183" spans="12:13" x14ac:dyDescent="0.25">
      <c r="L183" s="26"/>
      <c r="M183" s="29"/>
    </row>
    <row r="184" spans="12:13" x14ac:dyDescent="0.25">
      <c r="L184" s="26"/>
      <c r="M184" s="29"/>
    </row>
    <row r="185" spans="12:13" x14ac:dyDescent="0.25">
      <c r="L185" s="27"/>
      <c r="M185" s="27"/>
    </row>
    <row r="186" spans="12:13" x14ac:dyDescent="0.25">
      <c r="L186" s="26"/>
      <c r="M186" s="29"/>
    </row>
    <row r="187" spans="12:13" x14ac:dyDescent="0.25">
      <c r="L187" s="26"/>
      <c r="M187" s="29"/>
    </row>
    <row r="188" spans="12:13" x14ac:dyDescent="0.25">
      <c r="L188" s="26"/>
      <c r="M188" s="29"/>
    </row>
    <row r="189" spans="12:13" x14ac:dyDescent="0.25">
      <c r="L189" s="27"/>
      <c r="M189" s="27"/>
    </row>
    <row r="190" spans="12:13" x14ac:dyDescent="0.25">
      <c r="L190" s="26"/>
      <c r="M190" s="29"/>
    </row>
    <row r="191" spans="12:13" x14ac:dyDescent="0.25">
      <c r="L191" s="26"/>
      <c r="M191" s="29"/>
    </row>
    <row r="192" spans="12:13" x14ac:dyDescent="0.25">
      <c r="L192" s="26"/>
      <c r="M192" s="29"/>
    </row>
    <row r="193" spans="12:13" x14ac:dyDescent="0.25">
      <c r="L193" s="27"/>
      <c r="M193" s="27"/>
    </row>
    <row r="194" spans="12:13" x14ac:dyDescent="0.25">
      <c r="L194" s="26"/>
      <c r="M194" s="29"/>
    </row>
    <row r="195" spans="12:13" x14ac:dyDescent="0.25">
      <c r="L195" s="26"/>
      <c r="M195" s="29"/>
    </row>
    <row r="196" spans="12:13" x14ac:dyDescent="0.25">
      <c r="L196" s="26"/>
      <c r="M196" s="29"/>
    </row>
    <row r="197" spans="12:13" x14ac:dyDescent="0.25">
      <c r="L197" s="27"/>
      <c r="M197" s="27"/>
    </row>
    <row r="198" spans="12:13" x14ac:dyDescent="0.25">
      <c r="L198" s="26"/>
      <c r="M198" s="29"/>
    </row>
    <row r="199" spans="12:13" x14ac:dyDescent="0.25">
      <c r="L199" s="26"/>
      <c r="M199" s="29"/>
    </row>
    <row r="200" spans="12:13" x14ac:dyDescent="0.25">
      <c r="L200" s="26"/>
      <c r="M200" s="29"/>
    </row>
    <row r="201" spans="12:13" x14ac:dyDescent="0.25">
      <c r="L201" s="27"/>
      <c r="M201" s="27"/>
    </row>
    <row r="202" spans="12:13" x14ac:dyDescent="0.25">
      <c r="L202" s="26"/>
      <c r="M202" s="29"/>
    </row>
    <row r="203" spans="12:13" x14ac:dyDescent="0.25">
      <c r="L203" s="26"/>
      <c r="M203" s="29"/>
    </row>
    <row r="204" spans="12:13" x14ac:dyDescent="0.25">
      <c r="L204" s="26"/>
      <c r="M204" s="29"/>
    </row>
    <row r="205" spans="12:13" x14ac:dyDescent="0.25">
      <c r="L205" s="27"/>
      <c r="M205" s="27"/>
    </row>
    <row r="206" spans="12:13" x14ac:dyDescent="0.25">
      <c r="L206" s="26"/>
      <c r="M206" s="29"/>
    </row>
    <row r="207" spans="12:13" x14ac:dyDescent="0.25">
      <c r="L207" s="26"/>
      <c r="M207" s="29"/>
    </row>
    <row r="208" spans="12:13" x14ac:dyDescent="0.25">
      <c r="L208" s="26"/>
      <c r="M208" s="29"/>
    </row>
    <row r="209" spans="12:13" x14ac:dyDescent="0.25">
      <c r="L209" s="27"/>
      <c r="M209" s="27"/>
    </row>
    <row r="210" spans="12:13" x14ac:dyDescent="0.25">
      <c r="L210" s="26"/>
      <c r="M210" s="29"/>
    </row>
    <row r="211" spans="12:13" x14ac:dyDescent="0.25">
      <c r="L211" s="26"/>
      <c r="M211" s="29"/>
    </row>
    <row r="212" spans="12:13" x14ac:dyDescent="0.25">
      <c r="L212" s="26"/>
      <c r="M212" s="29"/>
    </row>
    <row r="213" spans="12:13" x14ac:dyDescent="0.25">
      <c r="L213" s="27"/>
      <c r="M213" s="27"/>
    </row>
    <row r="214" spans="12:13" x14ac:dyDescent="0.25">
      <c r="L214" s="28"/>
      <c r="M214" s="29"/>
    </row>
    <row r="215" spans="12:13" x14ac:dyDescent="0.25">
      <c r="L215" s="28"/>
      <c r="M215" s="29"/>
    </row>
    <row r="216" spans="12:13" x14ac:dyDescent="0.25">
      <c r="L216" s="28"/>
      <c r="M216" s="29"/>
    </row>
    <row r="217" spans="12:13" x14ac:dyDescent="0.25">
      <c r="L217" s="27"/>
      <c r="M217" s="27"/>
    </row>
    <row r="218" spans="12:13" x14ac:dyDescent="0.25">
      <c r="L218" s="28"/>
      <c r="M218" s="29"/>
    </row>
    <row r="219" spans="12:13" x14ac:dyDescent="0.25">
      <c r="L219" s="28"/>
      <c r="M219" s="29"/>
    </row>
    <row r="220" spans="12:13" x14ac:dyDescent="0.25">
      <c r="L220" s="28"/>
      <c r="M220" s="29"/>
    </row>
    <row r="221" spans="12:13" x14ac:dyDescent="0.25">
      <c r="L221" s="27"/>
      <c r="M221" s="27"/>
    </row>
    <row r="222" spans="12:13" x14ac:dyDescent="0.25">
      <c r="L222" s="28"/>
      <c r="M222" s="29"/>
    </row>
    <row r="223" spans="12:13" x14ac:dyDescent="0.25">
      <c r="L223" s="28"/>
      <c r="M223" s="29"/>
    </row>
    <row r="224" spans="12:13" x14ac:dyDescent="0.25">
      <c r="L224" s="28"/>
      <c r="M224" s="29"/>
    </row>
    <row r="225" spans="12:13" x14ac:dyDescent="0.25">
      <c r="L225" s="27"/>
      <c r="M225" s="27"/>
    </row>
    <row r="226" spans="12:13" x14ac:dyDescent="0.25">
      <c r="L226" s="26"/>
      <c r="M226" s="29"/>
    </row>
    <row r="227" spans="12:13" x14ac:dyDescent="0.25">
      <c r="L227" s="26"/>
      <c r="M227" s="29"/>
    </row>
    <row r="228" spans="12:13" x14ac:dyDescent="0.25">
      <c r="L228" s="26"/>
      <c r="M228" s="29"/>
    </row>
    <row r="229" spans="12:13" x14ac:dyDescent="0.25">
      <c r="L229" s="27"/>
      <c r="M229" s="27"/>
    </row>
    <row r="230" spans="12:13" x14ac:dyDescent="0.25">
      <c r="L230" s="28"/>
      <c r="M230" s="29"/>
    </row>
    <row r="231" spans="12:13" x14ac:dyDescent="0.25">
      <c r="L231" s="28"/>
      <c r="M231" s="29"/>
    </row>
    <row r="232" spans="12:13" x14ac:dyDescent="0.25">
      <c r="L232" s="28"/>
      <c r="M232" s="29"/>
    </row>
    <row r="233" spans="12:13" x14ac:dyDescent="0.25">
      <c r="L233" s="27"/>
      <c r="M233" s="27"/>
    </row>
    <row r="234" spans="12:13" x14ac:dyDescent="0.25">
      <c r="L234" s="28"/>
      <c r="M234" s="29"/>
    </row>
    <row r="235" spans="12:13" x14ac:dyDescent="0.25">
      <c r="L235" s="28"/>
      <c r="M235" s="29"/>
    </row>
    <row r="236" spans="12:13" x14ac:dyDescent="0.25">
      <c r="L236" s="28"/>
      <c r="M236" s="29"/>
    </row>
    <row r="237" spans="12:13" x14ac:dyDescent="0.25">
      <c r="L237" s="27"/>
      <c r="M237" s="27"/>
    </row>
    <row r="238" spans="12:13" x14ac:dyDescent="0.25">
      <c r="L238" s="28"/>
      <c r="M238" s="29"/>
    </row>
    <row r="239" spans="12:13" x14ac:dyDescent="0.25">
      <c r="L239" s="28"/>
      <c r="M239" s="29"/>
    </row>
    <row r="240" spans="12:13" x14ac:dyDescent="0.25">
      <c r="L240" s="28"/>
      <c r="M240" s="29"/>
    </row>
    <row r="241" spans="12:13" x14ac:dyDescent="0.25">
      <c r="L241" s="27"/>
      <c r="M241" s="27"/>
    </row>
    <row r="242" spans="12:13" x14ac:dyDescent="0.25">
      <c r="L242" s="28"/>
      <c r="M242" s="29"/>
    </row>
    <row r="243" spans="12:13" x14ac:dyDescent="0.25">
      <c r="L243" s="28"/>
      <c r="M243" s="29"/>
    </row>
    <row r="244" spans="12:13" x14ac:dyDescent="0.25">
      <c r="L244" s="28"/>
      <c r="M244" s="29"/>
    </row>
    <row r="245" spans="12:13" x14ac:dyDescent="0.25">
      <c r="L245" s="27"/>
      <c r="M245" s="27"/>
    </row>
    <row r="246" spans="12:13" x14ac:dyDescent="0.25">
      <c r="L246" s="26"/>
      <c r="M246" s="29"/>
    </row>
    <row r="247" spans="12:13" x14ac:dyDescent="0.25">
      <c r="L247" s="26"/>
      <c r="M247" s="29"/>
    </row>
    <row r="248" spans="12:13" x14ac:dyDescent="0.25">
      <c r="L248" s="26"/>
      <c r="M248" s="29"/>
    </row>
    <row r="249" spans="12:13" x14ac:dyDescent="0.25">
      <c r="L249" s="27"/>
      <c r="M249" s="27"/>
    </row>
  </sheetData>
  <dataValidations count="2">
    <dataValidation type="whole" allowBlank="1" showInputMessage="1" showErrorMessage="1" sqref="C7" xr:uid="{2E6EAEE6-A5E8-4A2D-94DA-BBEA24665A3A}">
      <formula1>1</formula1>
      <formula2>12</formula2>
    </dataValidation>
    <dataValidation type="whole" allowBlank="1" showInputMessage="1" showErrorMessage="1" sqref="C6" xr:uid="{CAFEC451-9A2C-4D50-A253-C4E7FC98A058}">
      <formula1>2020</formula1>
      <formula2>2027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Dark_Magic">
                <anchor moveWithCells="1" sizeWithCells="1">
                  <from>
                    <xdr:col>1</xdr:col>
                    <xdr:colOff>19050</xdr:colOff>
                    <xdr:row>19</xdr:row>
                    <xdr:rowOff>57150</xdr:rowOff>
                  </from>
                  <to>
                    <xdr:col>2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995DDE3-59C3-429D-A66B-56A9B178EF83}">
          <x14:formula1>
            <xm:f>Groups!$B$2:$B$9</xm:f>
          </x14:formula1>
          <xm:sqref>D11</xm:sqref>
        </x14:dataValidation>
        <x14:dataValidation type="list" allowBlank="1" showInputMessage="1" showErrorMessage="1" xr:uid="{F3C4A3C4-41CF-4C71-BB3B-4ECA8AF2FB7F}">
          <x14:formula1>
            <xm:f>Companies!$C$2:$C$50</xm:f>
          </x14:formula1>
          <xm:sqref>D10</xm:sqref>
        </x14:dataValidation>
        <x14:dataValidation type="list" allowBlank="1" showInputMessage="1" showErrorMessage="1" xr:uid="{5ED09DB9-8C22-42A0-A51B-727652B6FFF9}">
          <x14:formula1>
            <xm:f>Companies!$C$2:$C$43</xm:f>
          </x14:formula1>
          <xm:sqref>F10</xm:sqref>
        </x14:dataValidation>
        <x14:dataValidation type="list" allowBlank="1" showInputMessage="1" showErrorMessage="1" xr:uid="{E900322F-CD5D-4220-9221-C88027998A15}">
          <x14:formula1>
            <xm:f>Groups!$B$2:$B$14</xm:f>
          </x14:formula1>
          <xm:sqref>F11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zoomScaleNormal="100" workbookViewId="0">
      <pane ySplit="1" topLeftCell="A2" activePane="bottomLeft" state="frozen"/>
      <selection pane="bottomLeft" activeCell="G6" sqref="G6"/>
    </sheetView>
  </sheetViews>
  <sheetFormatPr defaultRowHeight="15" x14ac:dyDescent="0.25"/>
  <cols>
    <col min="1" max="1" width="5.5703125" customWidth="1"/>
    <col min="2" max="2" width="12.7109375" customWidth="1"/>
    <col min="3" max="3" width="27.5703125" bestFit="1" customWidth="1"/>
  </cols>
  <sheetData>
    <row r="1" spans="1:3" x14ac:dyDescent="0.25">
      <c r="A1" s="3" t="s">
        <v>0</v>
      </c>
      <c r="B1" s="3" t="s">
        <v>47</v>
      </c>
      <c r="C1" s="3" t="s">
        <v>46</v>
      </c>
    </row>
    <row r="2" spans="1:3" x14ac:dyDescent="0.25">
      <c r="A2" s="1">
        <v>1</v>
      </c>
      <c r="B2" s="24" t="s">
        <v>53</v>
      </c>
      <c r="C2" s="22" t="s">
        <v>67</v>
      </c>
    </row>
    <row r="3" spans="1:3" x14ac:dyDescent="0.25">
      <c r="A3" s="1">
        <f>A2+1</f>
        <v>2</v>
      </c>
      <c r="B3" s="24" t="s">
        <v>53</v>
      </c>
      <c r="C3" s="23" t="s">
        <v>29</v>
      </c>
    </row>
    <row r="4" spans="1:3" x14ac:dyDescent="0.25">
      <c r="A4" s="1">
        <f t="shared" ref="A4:A43" si="0">A3+1</f>
        <v>3</v>
      </c>
      <c r="B4" s="24" t="s">
        <v>53</v>
      </c>
      <c r="C4" s="23" t="s">
        <v>15</v>
      </c>
    </row>
    <row r="5" spans="1:3" x14ac:dyDescent="0.25">
      <c r="A5" s="1">
        <f t="shared" si="0"/>
        <v>4</v>
      </c>
      <c r="B5" s="24" t="s">
        <v>53</v>
      </c>
      <c r="C5" s="23" t="s">
        <v>21</v>
      </c>
    </row>
    <row r="6" spans="1:3" x14ac:dyDescent="0.25">
      <c r="A6" s="1">
        <f t="shared" si="0"/>
        <v>5</v>
      </c>
      <c r="B6" s="24" t="s">
        <v>53</v>
      </c>
      <c r="C6" s="1" t="s">
        <v>19</v>
      </c>
    </row>
    <row r="7" spans="1:3" x14ac:dyDescent="0.25">
      <c r="A7" s="1">
        <f t="shared" si="0"/>
        <v>6</v>
      </c>
      <c r="B7" s="24" t="s">
        <v>53</v>
      </c>
      <c r="C7" s="1" t="s">
        <v>24</v>
      </c>
    </row>
    <row r="8" spans="1:3" x14ac:dyDescent="0.25">
      <c r="A8" s="1">
        <f t="shared" si="0"/>
        <v>7</v>
      </c>
      <c r="B8" s="24" t="s">
        <v>54</v>
      </c>
      <c r="C8" s="1" t="s">
        <v>69</v>
      </c>
    </row>
    <row r="9" spans="1:3" x14ac:dyDescent="0.25">
      <c r="A9" s="1">
        <f t="shared" si="0"/>
        <v>8</v>
      </c>
      <c r="B9" s="24" t="s">
        <v>54</v>
      </c>
      <c r="C9" s="1" t="s">
        <v>43</v>
      </c>
    </row>
    <row r="10" spans="1:3" x14ac:dyDescent="0.25">
      <c r="A10" s="1">
        <f t="shared" si="0"/>
        <v>9</v>
      </c>
      <c r="B10" s="24" t="s">
        <v>55</v>
      </c>
      <c r="C10" s="1" t="s">
        <v>44</v>
      </c>
    </row>
    <row r="11" spans="1:3" x14ac:dyDescent="0.25">
      <c r="A11" s="1">
        <f t="shared" si="0"/>
        <v>10</v>
      </c>
      <c r="B11" s="24" t="s">
        <v>55</v>
      </c>
      <c r="C11" s="1" t="s">
        <v>45</v>
      </c>
    </row>
    <row r="12" spans="1:3" x14ac:dyDescent="0.25">
      <c r="A12" s="1">
        <f t="shared" si="0"/>
        <v>11</v>
      </c>
      <c r="B12" s="24" t="s">
        <v>55</v>
      </c>
      <c r="C12" s="1" t="s">
        <v>28</v>
      </c>
    </row>
    <row r="13" spans="1:3" x14ac:dyDescent="0.25">
      <c r="A13" s="1">
        <f t="shared" si="0"/>
        <v>12</v>
      </c>
      <c r="B13" s="24" t="s">
        <v>55</v>
      </c>
      <c r="C13" s="1" t="s">
        <v>26</v>
      </c>
    </row>
    <row r="14" spans="1:3" x14ac:dyDescent="0.25">
      <c r="A14" s="1">
        <f t="shared" si="0"/>
        <v>13</v>
      </c>
      <c r="B14" s="24" t="s">
        <v>55</v>
      </c>
      <c r="C14" s="1" t="s">
        <v>25</v>
      </c>
    </row>
    <row r="15" spans="1:3" x14ac:dyDescent="0.25">
      <c r="A15" s="1">
        <f t="shared" si="0"/>
        <v>14</v>
      </c>
      <c r="B15" s="24" t="s">
        <v>55</v>
      </c>
      <c r="C15" s="1" t="s">
        <v>14</v>
      </c>
    </row>
    <row r="16" spans="1:3" x14ac:dyDescent="0.25">
      <c r="A16" s="1">
        <f t="shared" si="0"/>
        <v>15</v>
      </c>
      <c r="B16" s="24" t="s">
        <v>55</v>
      </c>
      <c r="C16" s="1" t="s">
        <v>49</v>
      </c>
    </row>
    <row r="17" spans="1:3" x14ac:dyDescent="0.25">
      <c r="A17" s="1">
        <f t="shared" si="0"/>
        <v>16</v>
      </c>
      <c r="B17" s="24" t="s">
        <v>55</v>
      </c>
      <c r="C17" s="1" t="s">
        <v>27</v>
      </c>
    </row>
    <row r="18" spans="1:3" x14ac:dyDescent="0.25">
      <c r="A18" s="1">
        <f t="shared" si="0"/>
        <v>17</v>
      </c>
      <c r="B18" s="24" t="s">
        <v>55</v>
      </c>
      <c r="C18" s="1" t="s">
        <v>23</v>
      </c>
    </row>
    <row r="19" spans="1:3" x14ac:dyDescent="0.25">
      <c r="A19" s="1">
        <f t="shared" si="0"/>
        <v>18</v>
      </c>
      <c r="B19" s="24" t="s">
        <v>59</v>
      </c>
      <c r="C19" s="1" t="s">
        <v>22</v>
      </c>
    </row>
    <row r="20" spans="1:3" x14ac:dyDescent="0.25">
      <c r="A20" s="1">
        <f t="shared" si="0"/>
        <v>19</v>
      </c>
      <c r="B20" s="24" t="s">
        <v>59</v>
      </c>
      <c r="C20" s="1" t="s">
        <v>42</v>
      </c>
    </row>
    <row r="21" spans="1:3" x14ac:dyDescent="0.25">
      <c r="A21" s="1">
        <f t="shared" si="0"/>
        <v>20</v>
      </c>
      <c r="B21" s="24" t="s">
        <v>60</v>
      </c>
      <c r="C21" s="1" t="s">
        <v>18</v>
      </c>
    </row>
    <row r="22" spans="1:3" x14ac:dyDescent="0.25">
      <c r="A22" s="1">
        <f t="shared" si="0"/>
        <v>21</v>
      </c>
      <c r="B22" s="24" t="s">
        <v>60</v>
      </c>
      <c r="C22" s="1" t="s">
        <v>40</v>
      </c>
    </row>
    <row r="23" spans="1:3" x14ac:dyDescent="0.25">
      <c r="A23" s="1">
        <f t="shared" si="0"/>
        <v>22</v>
      </c>
      <c r="B23" s="24" t="s">
        <v>60</v>
      </c>
      <c r="C23" s="1" t="s">
        <v>41</v>
      </c>
    </row>
    <row r="24" spans="1:3" x14ac:dyDescent="0.25">
      <c r="A24" s="1">
        <f t="shared" si="0"/>
        <v>23</v>
      </c>
      <c r="B24" s="24" t="s">
        <v>60</v>
      </c>
      <c r="C24" s="1" t="s">
        <v>70</v>
      </c>
    </row>
    <row r="25" spans="1:3" x14ac:dyDescent="0.25">
      <c r="A25" s="1">
        <f t="shared" si="0"/>
        <v>24</v>
      </c>
      <c r="B25" s="24" t="s">
        <v>60</v>
      </c>
      <c r="C25" s="1" t="s">
        <v>39</v>
      </c>
    </row>
    <row r="26" spans="1:3" x14ac:dyDescent="0.25">
      <c r="A26" s="1">
        <f t="shared" si="0"/>
        <v>25</v>
      </c>
      <c r="B26" s="24" t="s">
        <v>60</v>
      </c>
      <c r="C26" s="1" t="s">
        <v>17</v>
      </c>
    </row>
    <row r="27" spans="1:3" x14ac:dyDescent="0.25">
      <c r="A27" s="1">
        <f t="shared" si="0"/>
        <v>26</v>
      </c>
      <c r="B27" s="24" t="s">
        <v>60</v>
      </c>
      <c r="C27" s="1" t="s">
        <v>36</v>
      </c>
    </row>
    <row r="28" spans="1:3" x14ac:dyDescent="0.25">
      <c r="A28" s="1">
        <f t="shared" si="0"/>
        <v>27</v>
      </c>
      <c r="B28" s="24" t="s">
        <v>60</v>
      </c>
      <c r="C28" s="1" t="s">
        <v>37</v>
      </c>
    </row>
    <row r="29" spans="1:3" x14ac:dyDescent="0.25">
      <c r="A29" s="1">
        <f t="shared" si="0"/>
        <v>28</v>
      </c>
      <c r="B29" s="24" t="s">
        <v>60</v>
      </c>
      <c r="C29" s="1" t="s">
        <v>38</v>
      </c>
    </row>
    <row r="30" spans="1:3" x14ac:dyDescent="0.25">
      <c r="A30" s="1">
        <f t="shared" si="0"/>
        <v>29</v>
      </c>
      <c r="B30" s="24" t="s">
        <v>60</v>
      </c>
      <c r="C30" s="1" t="s">
        <v>16</v>
      </c>
    </row>
    <row r="31" spans="1:3" x14ac:dyDescent="0.25">
      <c r="A31" s="1">
        <f t="shared" si="0"/>
        <v>30</v>
      </c>
      <c r="B31" s="24" t="s">
        <v>56</v>
      </c>
      <c r="C31" s="1" t="s">
        <v>30</v>
      </c>
    </row>
    <row r="32" spans="1:3" x14ac:dyDescent="0.25">
      <c r="A32" s="1">
        <f t="shared" si="0"/>
        <v>31</v>
      </c>
      <c r="B32" s="24" t="s">
        <v>56</v>
      </c>
      <c r="C32" s="1" t="s">
        <v>31</v>
      </c>
    </row>
    <row r="33" spans="1:3" x14ac:dyDescent="0.25">
      <c r="A33" s="1">
        <f t="shared" si="0"/>
        <v>32</v>
      </c>
      <c r="B33" s="24" t="s">
        <v>56</v>
      </c>
      <c r="C33" s="1" t="s">
        <v>32</v>
      </c>
    </row>
    <row r="34" spans="1:3" x14ac:dyDescent="0.25">
      <c r="A34" s="1">
        <f t="shared" si="0"/>
        <v>33</v>
      </c>
      <c r="B34" s="24" t="s">
        <v>56</v>
      </c>
      <c r="C34" s="1" t="s">
        <v>33</v>
      </c>
    </row>
    <row r="35" spans="1:3" x14ac:dyDescent="0.25">
      <c r="A35" s="1">
        <f t="shared" si="0"/>
        <v>34</v>
      </c>
      <c r="B35" s="24" t="s">
        <v>56</v>
      </c>
      <c r="C35" s="1" t="s">
        <v>34</v>
      </c>
    </row>
    <row r="36" spans="1:3" x14ac:dyDescent="0.25">
      <c r="A36" s="1">
        <f t="shared" si="0"/>
        <v>35</v>
      </c>
      <c r="B36" s="24" t="s">
        <v>57</v>
      </c>
      <c r="C36" s="1" t="s">
        <v>35</v>
      </c>
    </row>
    <row r="37" spans="1:3" x14ac:dyDescent="0.25">
      <c r="A37" s="1">
        <f t="shared" si="0"/>
        <v>36</v>
      </c>
      <c r="B37" s="24" t="s">
        <v>57</v>
      </c>
      <c r="C37" s="1" t="s">
        <v>50</v>
      </c>
    </row>
    <row r="38" spans="1:3" x14ac:dyDescent="0.25">
      <c r="A38" s="1">
        <f t="shared" si="0"/>
        <v>37</v>
      </c>
      <c r="B38" s="24" t="s">
        <v>57</v>
      </c>
      <c r="C38" s="1" t="s">
        <v>71</v>
      </c>
    </row>
    <row r="39" spans="1:3" x14ac:dyDescent="0.25">
      <c r="A39" s="1">
        <f t="shared" si="0"/>
        <v>38</v>
      </c>
      <c r="B39" s="24" t="s">
        <v>57</v>
      </c>
      <c r="C39" s="1" t="s">
        <v>51</v>
      </c>
    </row>
    <row r="40" spans="1:3" x14ac:dyDescent="0.25">
      <c r="A40" s="1">
        <f t="shared" si="0"/>
        <v>39</v>
      </c>
      <c r="B40" s="24" t="s">
        <v>58</v>
      </c>
      <c r="C40" s="1" t="s">
        <v>1</v>
      </c>
    </row>
    <row r="41" spans="1:3" x14ac:dyDescent="0.25">
      <c r="A41" s="1">
        <f t="shared" si="0"/>
        <v>40</v>
      </c>
      <c r="B41" s="24" t="s">
        <v>58</v>
      </c>
      <c r="C41" s="1" t="s">
        <v>48</v>
      </c>
    </row>
    <row r="42" spans="1:3" x14ac:dyDescent="0.25">
      <c r="A42" s="1">
        <f t="shared" si="0"/>
        <v>41</v>
      </c>
      <c r="B42" s="24" t="s">
        <v>58</v>
      </c>
      <c r="C42" s="1" t="s">
        <v>20</v>
      </c>
    </row>
    <row r="43" spans="1:3" x14ac:dyDescent="0.25">
      <c r="A43" s="2">
        <f t="shared" si="0"/>
        <v>42</v>
      </c>
      <c r="B43" s="25" t="s">
        <v>58</v>
      </c>
      <c r="C43" s="2" t="s">
        <v>52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A01B4-D9A4-42D4-A18A-71DC85C9D8CA}">
  <sheetPr codeName="Sheet2"/>
  <dimension ref="A1:B14"/>
  <sheetViews>
    <sheetView showGridLines="0" workbookViewId="0">
      <selection activeCell="D13" sqref="D13"/>
    </sheetView>
  </sheetViews>
  <sheetFormatPr defaultRowHeight="15" x14ac:dyDescent="0.25"/>
  <cols>
    <col min="2" max="2" width="12.28515625" bestFit="1" customWidth="1"/>
  </cols>
  <sheetData>
    <row r="1" spans="1:2" x14ac:dyDescent="0.25">
      <c r="A1" s="3" t="s">
        <v>0</v>
      </c>
      <c r="B1" s="3" t="s">
        <v>47</v>
      </c>
    </row>
    <row r="2" spans="1:2" x14ac:dyDescent="0.25">
      <c r="A2" s="4">
        <v>1</v>
      </c>
      <c r="B2" s="19" t="s">
        <v>55</v>
      </c>
    </row>
    <row r="3" spans="1:2" x14ac:dyDescent="0.25">
      <c r="A3" s="1">
        <f>A2+1</f>
        <v>2</v>
      </c>
      <c r="B3" s="19" t="s">
        <v>67</v>
      </c>
    </row>
    <row r="4" spans="1:2" x14ac:dyDescent="0.25">
      <c r="A4" s="1">
        <f t="shared" ref="A4:A14" si="0">A3+1</f>
        <v>3</v>
      </c>
      <c r="B4" s="19" t="s">
        <v>59</v>
      </c>
    </row>
    <row r="5" spans="1:2" x14ac:dyDescent="0.25">
      <c r="A5" s="1">
        <f t="shared" si="0"/>
        <v>4</v>
      </c>
      <c r="B5" s="19" t="s">
        <v>60</v>
      </c>
    </row>
    <row r="6" spans="1:2" x14ac:dyDescent="0.25">
      <c r="A6" s="1">
        <f t="shared" si="0"/>
        <v>5</v>
      </c>
      <c r="B6" s="19" t="s">
        <v>29</v>
      </c>
    </row>
    <row r="7" spans="1:2" x14ac:dyDescent="0.25">
      <c r="A7" s="1">
        <f t="shared" si="0"/>
        <v>6</v>
      </c>
      <c r="B7" s="19" t="s">
        <v>56</v>
      </c>
    </row>
    <row r="8" spans="1:2" x14ac:dyDescent="0.25">
      <c r="A8" s="1">
        <f t="shared" si="0"/>
        <v>7</v>
      </c>
      <c r="B8" s="19" t="s">
        <v>57</v>
      </c>
    </row>
    <row r="9" spans="1:2" x14ac:dyDescent="0.25">
      <c r="A9" s="1">
        <f t="shared" si="0"/>
        <v>8</v>
      </c>
      <c r="B9" s="19" t="s">
        <v>58</v>
      </c>
    </row>
    <row r="10" spans="1:2" x14ac:dyDescent="0.25">
      <c r="A10" s="19">
        <f t="shared" si="0"/>
        <v>9</v>
      </c>
      <c r="B10" s="19" t="s">
        <v>15</v>
      </c>
    </row>
    <row r="11" spans="1:2" x14ac:dyDescent="0.25">
      <c r="A11" s="19">
        <f t="shared" si="0"/>
        <v>10</v>
      </c>
      <c r="B11" s="19" t="s">
        <v>21</v>
      </c>
    </row>
    <row r="12" spans="1:2" x14ac:dyDescent="0.25">
      <c r="A12" s="19">
        <f t="shared" si="0"/>
        <v>11</v>
      </c>
      <c r="B12" s="19" t="s">
        <v>68</v>
      </c>
    </row>
    <row r="13" spans="1:2" x14ac:dyDescent="0.25">
      <c r="A13" s="19">
        <f t="shared" si="0"/>
        <v>12</v>
      </c>
      <c r="B13" s="19" t="s">
        <v>61</v>
      </c>
    </row>
    <row r="14" spans="1:2" x14ac:dyDescent="0.25">
      <c r="A14" s="2">
        <f t="shared" si="0"/>
        <v>13</v>
      </c>
      <c r="B14" s="20" t="s">
        <v>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47D7AADA15F5499DADE15B22B9F20C" ma:contentTypeVersion="12" ma:contentTypeDescription="Create a new document." ma:contentTypeScope="" ma:versionID="7133a6412e0062c6b13d67dd3a052c16">
  <xsd:schema xmlns:xsd="http://www.w3.org/2001/XMLSchema" xmlns:xs="http://www.w3.org/2001/XMLSchema" xmlns:p="http://schemas.microsoft.com/office/2006/metadata/properties" xmlns:ns2="655c8ab6-1d10-41eb-9301-4beef5b6d863" xmlns:ns3="cebd42b5-be8d-4829-be8f-216fcfaecaef" targetNamespace="http://schemas.microsoft.com/office/2006/metadata/properties" ma:root="true" ma:fieldsID="e26a62585b4fa4791d8486a83413671e" ns2:_="" ns3:_="">
    <xsd:import namespace="655c8ab6-1d10-41eb-9301-4beef5b6d863"/>
    <xsd:import namespace="cebd42b5-be8d-4829-be8f-216fcfaeca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5c8ab6-1d10-41eb-9301-4beef5b6d8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bd42b5-be8d-4829-be8f-216fcfaecae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E3667BD-61CC-4458-ADB7-E16F2A994B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5c8ab6-1d10-41eb-9301-4beef5b6d863"/>
    <ds:schemaRef ds:uri="cebd42b5-be8d-4829-be8f-216fcfaeca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7621B1-2BFD-4A1E-AA27-8F53ED286B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7B93737-98A3-49BA-AABF-5BF1B6F116AE}">
  <ds:schemaRefs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cebd42b5-be8d-4829-be8f-216fcfaecaef"/>
    <ds:schemaRef ds:uri="655c8ab6-1d10-41eb-9301-4beef5b6d863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Companies</vt:lpstr>
      <vt:lpstr>Groups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Filip</dc:creator>
  <cp:lastModifiedBy>Obukhov, Maksim</cp:lastModifiedBy>
  <dcterms:created xsi:type="dcterms:W3CDTF">2015-06-05T18:17:20Z</dcterms:created>
  <dcterms:modified xsi:type="dcterms:W3CDTF">2022-09-06T09:00:01Z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0x0101007347D7AADA15F5499DADE15B22B9F20C</vt:lpwstr>
  </property>
</Properties>
</file>